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2.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EstaPasta_de_trabalho"/>
  <mc:AlternateContent xmlns:mc="http://schemas.openxmlformats.org/markup-compatibility/2006">
    <mc:Choice Requires="x15">
      <x15ac:absPath xmlns:x15ac="http://schemas.microsoft.com/office/spreadsheetml/2010/11/ac" url="https://d.docs.live.net/44124b9ff5bd0553/Área de Trabalho/senac/1 Semestre/Empreendorismo/"/>
    </mc:Choice>
  </mc:AlternateContent>
  <xr:revisionPtr revIDLastSave="5" documentId="13_ncr:1_{A080FF6F-8A5F-40C4-AB2B-EE9F7913B0F1}" xr6:coauthVersionLast="47" xr6:coauthVersionMax="47" xr10:uidLastSave="{B9BE010A-A0CB-4E28-AF38-29C139AD00ED}"/>
  <bookViews>
    <workbookView xWindow="-120" yWindow="-120" windowWidth="20730" windowHeight="11040" activeTab="5" xr2:uid="{00000000-000D-0000-FFFF-FFFF00000000}"/>
  </bookViews>
  <sheets>
    <sheet name="PÁGINA INICIAL" sheetId="19" r:id="rId1"/>
    <sheet name="DEMANDA" sheetId="21" state="hidden" r:id="rId2"/>
    <sheet name="LISTA" sheetId="1" r:id="rId3"/>
    <sheet name="DRE" sheetId="2" r:id="rId4"/>
    <sheet name="BREAK EVEN POINTS" sheetId="18" state="hidden" r:id="rId5"/>
    <sheet name="NOVACURVAABC" sheetId="5" r:id="rId6"/>
    <sheet name="Plan6" sheetId="6" r:id="rId7"/>
    <sheet name="Plan7" sheetId="7" r:id="rId8"/>
    <sheet name="Plan8" sheetId="8" r:id="rId9"/>
    <sheet name="Plan9" sheetId="9" r:id="rId10"/>
    <sheet name="Plan10" sheetId="10" r:id="rId11"/>
    <sheet name="Plan11" sheetId="11" r:id="rId12"/>
    <sheet name="Plan12" sheetId="12" r:id="rId13"/>
    <sheet name="Plan13" sheetId="13" r:id="rId14"/>
    <sheet name="Plan14" sheetId="14" r:id="rId15"/>
    <sheet name="Plan15" sheetId="15" r:id="rId16"/>
    <sheet name="Plan16" sheetId="16" r:id="rId17"/>
    <sheet name="Compatibility Report" sheetId="17" r:id="rId18"/>
  </sheets>
  <definedNames>
    <definedName name="_xlnm.Print_Area" localSheetId="4">#N/A</definedName>
    <definedName name="_xlnm.Print_Area" localSheetId="3">#N/A</definedName>
    <definedName name="_xlnm.Print_Titles" localSheetId="2">#N/A</definedName>
    <definedName name="solver_adj" localSheetId="1" hidden="1">DEMANDA!$C$6</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DEMANDA!$C$6</definedName>
    <definedName name="solver_lhs2" localSheetId="1" hidden="1">DEMANDA!$C$6</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2</definedName>
    <definedName name="solver_nwt" localSheetId="1" hidden="1">1</definedName>
    <definedName name="solver_opt" localSheetId="1" hidden="1">DEMANDA!$D$7</definedName>
    <definedName name="solver_pre" localSheetId="1" hidden="1">0.000001</definedName>
    <definedName name="solver_rbv" localSheetId="1" hidden="1">1</definedName>
    <definedName name="solver_rel1" localSheetId="1" hidden="1">1</definedName>
    <definedName name="solver_rel2" localSheetId="1" hidden="1">3</definedName>
    <definedName name="solver_rhs1" localSheetId="1" hidden="1">1000</definedName>
    <definedName name="solver_rhs2" localSheetId="1" hidden="1">100</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1</definedName>
    <definedName name="solver_val" localSheetId="1" hidden="1">0</definedName>
    <definedName name="solver_ver" localSheetId="1"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 i="5" l="1"/>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A5" i="5"/>
  <c r="A6"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F69" i="1"/>
  <c r="H69" i="1" s="1"/>
  <c r="I69" i="1" s="1"/>
  <c r="K69" i="1" s="1"/>
  <c r="L69" i="1"/>
  <c r="N69" i="1"/>
  <c r="F70" i="1"/>
  <c r="H70" i="1" s="1"/>
  <c r="I70" i="1" s="1"/>
  <c r="K70" i="1" s="1"/>
  <c r="L70" i="1"/>
  <c r="N70" i="1"/>
  <c r="F71" i="1"/>
  <c r="M71" i="1" s="1"/>
  <c r="L71" i="1"/>
  <c r="N71" i="1"/>
  <c r="F72" i="1"/>
  <c r="H72" i="1" s="1"/>
  <c r="I72" i="1" s="1"/>
  <c r="K72" i="1" s="1"/>
  <c r="L72" i="1"/>
  <c r="N72" i="1"/>
  <c r="F73" i="1"/>
  <c r="M73" i="1" s="1"/>
  <c r="L73" i="1"/>
  <c r="N73" i="1"/>
  <c r="F74" i="1"/>
  <c r="H74" i="1"/>
  <c r="I74" i="1"/>
  <c r="K74" i="1" s="1"/>
  <c r="L74" i="1"/>
  <c r="M74" i="1"/>
  <c r="N74" i="1"/>
  <c r="F75" i="1"/>
  <c r="H75" i="1"/>
  <c r="I75" i="1" s="1"/>
  <c r="K75" i="1" s="1"/>
  <c r="L75" i="1"/>
  <c r="M75" i="1"/>
  <c r="N75" i="1"/>
  <c r="F76" i="1"/>
  <c r="H76" i="1"/>
  <c r="I76" i="1" s="1"/>
  <c r="K76" i="1" s="1"/>
  <c r="L76" i="1"/>
  <c r="M76" i="1"/>
  <c r="N76" i="1"/>
  <c r="F77" i="1"/>
  <c r="H77" i="1" s="1"/>
  <c r="I77" i="1" s="1"/>
  <c r="K77" i="1" s="1"/>
  <c r="L77" i="1"/>
  <c r="M77" i="1"/>
  <c r="N77" i="1"/>
  <c r="F78" i="1"/>
  <c r="H78" i="1" s="1"/>
  <c r="I78" i="1" s="1"/>
  <c r="K78" i="1" s="1"/>
  <c r="L78" i="1"/>
  <c r="N78" i="1"/>
  <c r="F79" i="1"/>
  <c r="M79" i="1" s="1"/>
  <c r="H79" i="1"/>
  <c r="I79" i="1" s="1"/>
  <c r="K79" i="1" s="1"/>
  <c r="L79" i="1"/>
  <c r="N79" i="1"/>
  <c r="F80" i="1"/>
  <c r="H80" i="1"/>
  <c r="I80" i="1" s="1"/>
  <c r="K80" i="1" s="1"/>
  <c r="L80" i="1"/>
  <c r="M80" i="1"/>
  <c r="N80" i="1"/>
  <c r="F81" i="1"/>
  <c r="H81" i="1"/>
  <c r="I81" i="1" s="1"/>
  <c r="K81" i="1" s="1"/>
  <c r="L81" i="1"/>
  <c r="M81" i="1"/>
  <c r="N81" i="1"/>
  <c r="F82" i="1"/>
  <c r="H82" i="1"/>
  <c r="I82" i="1" s="1"/>
  <c r="K82" i="1" s="1"/>
  <c r="L82" i="1"/>
  <c r="M82" i="1"/>
  <c r="N82" i="1"/>
  <c r="F83" i="1"/>
  <c r="H83" i="1" s="1"/>
  <c r="I83" i="1" s="1"/>
  <c r="K83" i="1" s="1"/>
  <c r="L83" i="1"/>
  <c r="M83" i="1"/>
  <c r="N83" i="1"/>
  <c r="F84" i="1"/>
  <c r="H84" i="1" s="1"/>
  <c r="I84" i="1" s="1"/>
  <c r="K84" i="1" s="1"/>
  <c r="L84" i="1"/>
  <c r="M84" i="1"/>
  <c r="N84" i="1"/>
  <c r="F85" i="1"/>
  <c r="H85" i="1" s="1"/>
  <c r="I85" i="1" s="1"/>
  <c r="K85" i="1" s="1"/>
  <c r="L85" i="1"/>
  <c r="N85" i="1"/>
  <c r="F86" i="1"/>
  <c r="M86" i="1" s="1"/>
  <c r="L86" i="1"/>
  <c r="N86" i="1"/>
  <c r="F87" i="1"/>
  <c r="H87" i="1"/>
  <c r="I87" i="1" s="1"/>
  <c r="K87" i="1" s="1"/>
  <c r="L87" i="1"/>
  <c r="M87" i="1"/>
  <c r="N87" i="1"/>
  <c r="F88" i="1"/>
  <c r="H88" i="1"/>
  <c r="I88" i="1" s="1"/>
  <c r="K88" i="1" s="1"/>
  <c r="L88" i="1"/>
  <c r="M88" i="1"/>
  <c r="N88" i="1"/>
  <c r="F89" i="1"/>
  <c r="H89" i="1" s="1"/>
  <c r="I89" i="1" s="1"/>
  <c r="K89" i="1" s="1"/>
  <c r="L89" i="1"/>
  <c r="M89" i="1"/>
  <c r="N89" i="1"/>
  <c r="F90" i="1"/>
  <c r="H90" i="1"/>
  <c r="I90" i="1" s="1"/>
  <c r="K90" i="1" s="1"/>
  <c r="L90" i="1"/>
  <c r="M90" i="1"/>
  <c r="N90" i="1"/>
  <c r="F91" i="1"/>
  <c r="H91" i="1" s="1"/>
  <c r="I91" i="1" s="1"/>
  <c r="K91" i="1" s="1"/>
  <c r="L91" i="1"/>
  <c r="N91" i="1"/>
  <c r="F92" i="1"/>
  <c r="H92" i="1" s="1"/>
  <c r="I92" i="1" s="1"/>
  <c r="K92" i="1" s="1"/>
  <c r="L92" i="1"/>
  <c r="N92" i="1"/>
  <c r="F93" i="1"/>
  <c r="M93" i="1" s="1"/>
  <c r="L93" i="1"/>
  <c r="N93" i="1"/>
  <c r="F94" i="1"/>
  <c r="M94" i="1" s="1"/>
  <c r="H94" i="1"/>
  <c r="I94" i="1" s="1"/>
  <c r="K94" i="1" s="1"/>
  <c r="L94" i="1"/>
  <c r="N94" i="1"/>
  <c r="F95" i="1"/>
  <c r="H95" i="1"/>
  <c r="I95" i="1" s="1"/>
  <c r="K95" i="1" s="1"/>
  <c r="L95" i="1"/>
  <c r="M95" i="1"/>
  <c r="N95" i="1"/>
  <c r="F96" i="1"/>
  <c r="H96" i="1"/>
  <c r="I96" i="1" s="1"/>
  <c r="K96" i="1" s="1"/>
  <c r="L96" i="1"/>
  <c r="M96" i="1"/>
  <c r="N96" i="1"/>
  <c r="F97" i="1"/>
  <c r="H97" i="1" s="1"/>
  <c r="I97" i="1" s="1"/>
  <c r="K97" i="1" s="1"/>
  <c r="L97" i="1"/>
  <c r="M97" i="1"/>
  <c r="N97" i="1"/>
  <c r="F98" i="1"/>
  <c r="H98" i="1"/>
  <c r="I98" i="1" s="1"/>
  <c r="K98" i="1" s="1"/>
  <c r="L98" i="1"/>
  <c r="M98" i="1"/>
  <c r="N98" i="1"/>
  <c r="F99" i="1"/>
  <c r="M99" i="1" s="1"/>
  <c r="L99" i="1"/>
  <c r="N99" i="1"/>
  <c r="F100" i="1"/>
  <c r="M100" i="1" s="1"/>
  <c r="L100" i="1"/>
  <c r="N100" i="1"/>
  <c r="F101" i="1"/>
  <c r="M101" i="1" s="1"/>
  <c r="H101" i="1"/>
  <c r="I101" i="1" s="1"/>
  <c r="K101" i="1" s="1"/>
  <c r="L101" i="1"/>
  <c r="N101" i="1"/>
  <c r="F102" i="1"/>
  <c r="H102" i="1" s="1"/>
  <c r="I102" i="1" s="1"/>
  <c r="K102" i="1" s="1"/>
  <c r="L102" i="1"/>
  <c r="M102" i="1"/>
  <c r="N102" i="1"/>
  <c r="F103" i="1"/>
  <c r="H103" i="1"/>
  <c r="I103" i="1" s="1"/>
  <c r="K103" i="1" s="1"/>
  <c r="L103" i="1"/>
  <c r="M103" i="1"/>
  <c r="N103" i="1"/>
  <c r="F104" i="1"/>
  <c r="H104" i="1"/>
  <c r="I104" i="1" s="1"/>
  <c r="K104" i="1" s="1"/>
  <c r="L104" i="1"/>
  <c r="M104" i="1"/>
  <c r="N104" i="1"/>
  <c r="C5" i="6"/>
  <c r="C1" i="5"/>
  <c r="A4" i="5"/>
  <c r="C8" i="21"/>
  <c r="H100" i="1" l="1"/>
  <c r="I100" i="1" s="1"/>
  <c r="K100" i="1" s="1"/>
  <c r="H99" i="1"/>
  <c r="I99" i="1" s="1"/>
  <c r="K99" i="1" s="1"/>
  <c r="H93" i="1"/>
  <c r="I93" i="1" s="1"/>
  <c r="K93" i="1" s="1"/>
  <c r="H86" i="1"/>
  <c r="I86" i="1" s="1"/>
  <c r="K86" i="1" s="1"/>
  <c r="H73" i="1"/>
  <c r="I73" i="1" s="1"/>
  <c r="K73" i="1" s="1"/>
  <c r="M70" i="1"/>
  <c r="M92" i="1"/>
  <c r="M91" i="1"/>
  <c r="M85" i="1"/>
  <c r="M78" i="1"/>
  <c r="M72" i="1"/>
  <c r="H71" i="1"/>
  <c r="I71" i="1" s="1"/>
  <c r="K71" i="1" s="1"/>
  <c r="M69" i="1"/>
  <c r="C7" i="21"/>
  <c r="D7" i="21" s="1"/>
  <c r="L8" i="1" l="1"/>
  <c r="L18" i="1"/>
  <c r="F28" i="1"/>
  <c r="M28" i="1" s="1"/>
  <c r="F29" i="1"/>
  <c r="M29" i="1" s="1"/>
  <c r="F33" i="1"/>
  <c r="F36" i="1"/>
  <c r="F37" i="1"/>
  <c r="M37" i="1" s="1"/>
  <c r="F40" i="1"/>
  <c r="H40" i="1" s="1"/>
  <c r="I40" i="1" s="1"/>
  <c r="K40" i="1" s="1"/>
  <c r="B39" i="5" s="1"/>
  <c r="F44" i="1"/>
  <c r="H44" i="1" s="1"/>
  <c r="I44" i="1" s="1"/>
  <c r="K44" i="1" s="1"/>
  <c r="B43" i="5" s="1"/>
  <c r="F45" i="1"/>
  <c r="H45" i="1" s="1"/>
  <c r="I45" i="1" s="1"/>
  <c r="K45" i="1" s="1"/>
  <c r="B44" i="5" s="1"/>
  <c r="F52" i="1"/>
  <c r="M52" i="1" s="1"/>
  <c r="F53" i="1"/>
  <c r="H53" i="1" s="1"/>
  <c r="I53" i="1" s="1"/>
  <c r="K53" i="1" s="1"/>
  <c r="B52" i="5" s="1"/>
  <c r="F56" i="1"/>
  <c r="F61" i="1"/>
  <c r="H61" i="1" s="1"/>
  <c r="I61" i="1" s="1"/>
  <c r="K61" i="1" s="1"/>
  <c r="B60" i="5" s="1"/>
  <c r="F64" i="1"/>
  <c r="H64" i="1" s="1"/>
  <c r="I64" i="1" s="1"/>
  <c r="K64" i="1" s="1"/>
  <c r="B63" i="5" s="1"/>
  <c r="F65" i="1"/>
  <c r="M65" i="1" s="1"/>
  <c r="B1" i="18"/>
  <c r="L25" i="1"/>
  <c r="L26" i="1"/>
  <c r="L27" i="1"/>
  <c r="L28" i="1"/>
  <c r="L29" i="1"/>
  <c r="L30" i="1"/>
  <c r="L31" i="1"/>
  <c r="L32" i="1"/>
  <c r="L33" i="1"/>
  <c r="L34" i="1"/>
  <c r="L35" i="1"/>
  <c r="L36" i="1"/>
  <c r="L37" i="1"/>
  <c r="N25" i="1"/>
  <c r="N26" i="1"/>
  <c r="N27" i="1"/>
  <c r="N28" i="1"/>
  <c r="N29" i="1"/>
  <c r="N30" i="1"/>
  <c r="N31" i="1"/>
  <c r="N32" i="1"/>
  <c r="N33" i="1"/>
  <c r="N34" i="1"/>
  <c r="N35" i="1"/>
  <c r="N36" i="1"/>
  <c r="N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D56" i="18"/>
  <c r="B47" i="18" s="1"/>
  <c r="B7" i="18"/>
  <c r="E12" i="18"/>
  <c r="B48" i="18"/>
  <c r="B53" i="18" s="1"/>
  <c r="F25" i="1"/>
  <c r="M25" i="1" s="1"/>
  <c r="F26" i="1"/>
  <c r="H26" i="1" s="1"/>
  <c r="I26" i="1" s="1"/>
  <c r="K26" i="1" s="1"/>
  <c r="B25" i="5" s="1"/>
  <c r="F27" i="1"/>
  <c r="F30" i="1"/>
  <c r="M30" i="1" s="1"/>
  <c r="F31" i="1"/>
  <c r="M31" i="1" s="1"/>
  <c r="F32" i="1"/>
  <c r="H32" i="1" s="1"/>
  <c r="I32" i="1" s="1"/>
  <c r="K32" i="1" s="1"/>
  <c r="B31" i="5" s="1"/>
  <c r="F34" i="1"/>
  <c r="F35" i="1"/>
  <c r="M35" i="1" s="1"/>
  <c r="F38" i="1"/>
  <c r="M38" i="1" s="1"/>
  <c r="N38" i="1"/>
  <c r="F39" i="1"/>
  <c r="M39" i="1" s="1"/>
  <c r="H39" i="1"/>
  <c r="I39" i="1" s="1"/>
  <c r="K39" i="1" s="1"/>
  <c r="B38" i="5" s="1"/>
  <c r="N39" i="1"/>
  <c r="N40" i="1"/>
  <c r="F41" i="1"/>
  <c r="M41" i="1" s="1"/>
  <c r="N41" i="1"/>
  <c r="F42" i="1"/>
  <c r="H42" i="1" s="1"/>
  <c r="I42" i="1" s="1"/>
  <c r="K42" i="1" s="1"/>
  <c r="B41" i="5" s="1"/>
  <c r="N42" i="1"/>
  <c r="F43" i="1"/>
  <c r="M43" i="1" s="1"/>
  <c r="N43" i="1"/>
  <c r="N44" i="1"/>
  <c r="N45" i="1"/>
  <c r="F46" i="1"/>
  <c r="M46" i="1" s="1"/>
  <c r="N46" i="1"/>
  <c r="F47" i="1"/>
  <c r="H47" i="1" s="1"/>
  <c r="I47" i="1" s="1"/>
  <c r="K47" i="1" s="1"/>
  <c r="B46" i="5" s="1"/>
  <c r="N47" i="1"/>
  <c r="F48" i="1"/>
  <c r="M48" i="1" s="1"/>
  <c r="N48" i="1"/>
  <c r="F49" i="1"/>
  <c r="H49" i="1" s="1"/>
  <c r="I49" i="1" s="1"/>
  <c r="K49" i="1" s="1"/>
  <c r="B48" i="5" s="1"/>
  <c r="N49" i="1"/>
  <c r="F50" i="1"/>
  <c r="M50" i="1" s="1"/>
  <c r="N50" i="1"/>
  <c r="F51" i="1"/>
  <c r="M51" i="1" s="1"/>
  <c r="N51" i="1"/>
  <c r="N52" i="1"/>
  <c r="N53" i="1"/>
  <c r="F54" i="1"/>
  <c r="H54" i="1" s="1"/>
  <c r="I54" i="1" s="1"/>
  <c r="K54" i="1" s="1"/>
  <c r="B53" i="5" s="1"/>
  <c r="N54" i="1"/>
  <c r="F55" i="1"/>
  <c r="H55" i="1" s="1"/>
  <c r="I55" i="1" s="1"/>
  <c r="K55" i="1" s="1"/>
  <c r="B54" i="5" s="1"/>
  <c r="N55" i="1"/>
  <c r="N56" i="1"/>
  <c r="F57" i="1"/>
  <c r="M57" i="1" s="1"/>
  <c r="N57" i="1"/>
  <c r="F58" i="1"/>
  <c r="M58" i="1" s="1"/>
  <c r="N58" i="1"/>
  <c r="F59" i="1"/>
  <c r="M59" i="1" s="1"/>
  <c r="N59" i="1"/>
  <c r="F60" i="1"/>
  <c r="H60" i="1" s="1"/>
  <c r="I60" i="1" s="1"/>
  <c r="K60" i="1" s="1"/>
  <c r="B59" i="5" s="1"/>
  <c r="N60" i="1"/>
  <c r="N61" i="1"/>
  <c r="F62" i="1"/>
  <c r="M62" i="1" s="1"/>
  <c r="N62" i="1"/>
  <c r="F63" i="1"/>
  <c r="H63" i="1" s="1"/>
  <c r="I63" i="1" s="1"/>
  <c r="K63" i="1" s="1"/>
  <c r="B62" i="5" s="1"/>
  <c r="N63" i="1"/>
  <c r="N64" i="1"/>
  <c r="N65" i="1"/>
  <c r="F66" i="1"/>
  <c r="H66" i="1" s="1"/>
  <c r="I66" i="1" s="1"/>
  <c r="K66" i="1" s="1"/>
  <c r="B65" i="5" s="1"/>
  <c r="N66" i="1"/>
  <c r="F67" i="1"/>
  <c r="M67" i="1" s="1"/>
  <c r="N67" i="1"/>
  <c r="F68" i="1"/>
  <c r="H68" i="1" s="1"/>
  <c r="I68" i="1" s="1"/>
  <c r="K68" i="1" s="1"/>
  <c r="B67" i="5" s="1"/>
  <c r="N68" i="1"/>
  <c r="H41" i="1"/>
  <c r="I41" i="1" s="1"/>
  <c r="K41" i="1" s="1"/>
  <c r="B40" i="5" s="1"/>
  <c r="M68" i="1"/>
  <c r="H67" i="1"/>
  <c r="I67" i="1" s="1"/>
  <c r="K67" i="1" s="1"/>
  <c r="B66" i="5" s="1"/>
  <c r="H34" i="1"/>
  <c r="I34" i="1" s="1"/>
  <c r="K34" i="1" s="1"/>
  <c r="B33" i="5" s="1"/>
  <c r="M34" i="1"/>
  <c r="H43" i="1"/>
  <c r="I43" i="1" s="1"/>
  <c r="K43" i="1" s="1"/>
  <c r="B42" i="5" s="1"/>
  <c r="C6" i="2"/>
  <c r="C41" i="18" s="1"/>
  <c r="N17" i="1"/>
  <c r="L15" i="1"/>
  <c r="N15" i="1"/>
  <c r="N13" i="1"/>
  <c r="L12" i="1"/>
  <c r="N12" i="1"/>
  <c r="N24" i="1"/>
  <c r="L21" i="1"/>
  <c r="N21" i="1"/>
  <c r="L20" i="1"/>
  <c r="N5" i="1"/>
  <c r="L5" i="1"/>
  <c r="N22" i="1"/>
  <c r="N6" i="1"/>
  <c r="M55" i="1"/>
  <c r="M45" i="1"/>
  <c r="M27" i="1"/>
  <c r="H27" i="1"/>
  <c r="I27" i="1" s="1"/>
  <c r="K27" i="1" s="1"/>
  <c r="B26" i="5" s="1"/>
  <c r="L19" i="1"/>
  <c r="N19" i="1"/>
  <c r="L11" i="1"/>
  <c r="N11" i="1"/>
  <c r="H37" i="1"/>
  <c r="I37" i="1" s="1"/>
  <c r="K37" i="1" s="1"/>
  <c r="B36" i="5" s="1"/>
  <c r="L22" i="1"/>
  <c r="N18" i="1"/>
  <c r="H36" i="1"/>
  <c r="I36" i="1" s="1"/>
  <c r="K36" i="1" s="1"/>
  <c r="B35" i="5" s="1"/>
  <c r="M36" i="1"/>
  <c r="L6" i="1"/>
  <c r="L24" i="1"/>
  <c r="L16" i="1"/>
  <c r="N16" i="1"/>
  <c r="N8" i="1"/>
  <c r="N7" i="1"/>
  <c r="L7" i="1"/>
  <c r="H56" i="1"/>
  <c r="I56" i="1" s="1"/>
  <c r="K56" i="1" s="1"/>
  <c r="B55" i="5" s="1"/>
  <c r="M56" i="1"/>
  <c r="M33" i="1"/>
  <c r="H33" i="1"/>
  <c r="I33" i="1" s="1"/>
  <c r="K33" i="1" s="1"/>
  <c r="B32" i="5" s="1"/>
  <c r="L17" i="1"/>
  <c r="N20" i="1"/>
  <c r="L13" i="1"/>
  <c r="L14" i="1"/>
  <c r="N14" i="1"/>
  <c r="L23" i="1"/>
  <c r="N23" i="1"/>
  <c r="L9" i="1"/>
  <c r="N9" i="1"/>
  <c r="N10" i="1"/>
  <c r="L10" i="1"/>
  <c r="F17" i="1"/>
  <c r="H17" i="1" s="1"/>
  <c r="I17" i="1" s="1"/>
  <c r="K17" i="1" s="1"/>
  <c r="B16" i="5" s="1"/>
  <c r="F23" i="1"/>
  <c r="M23" i="1" s="1"/>
  <c r="F15" i="1"/>
  <c r="H15" i="1" s="1"/>
  <c r="I15" i="1" s="1"/>
  <c r="K15" i="1" s="1"/>
  <c r="B14" i="5" s="1"/>
  <c r="F18" i="1"/>
  <c r="F24" i="1"/>
  <c r="M24" i="1" s="1"/>
  <c r="F13" i="1"/>
  <c r="M13" i="1" s="1"/>
  <c r="F21" i="1"/>
  <c r="H21" i="1" s="1"/>
  <c r="I21" i="1" s="1"/>
  <c r="K21" i="1" s="1"/>
  <c r="B20" i="5" s="1"/>
  <c r="F9" i="1"/>
  <c r="M9" i="1" s="1"/>
  <c r="F22" i="1"/>
  <c r="M22" i="1" s="1"/>
  <c r="F19" i="1"/>
  <c r="H19" i="1" s="1"/>
  <c r="I19" i="1" s="1"/>
  <c r="K19" i="1" s="1"/>
  <c r="B18" i="5" s="1"/>
  <c r="F7" i="1"/>
  <c r="M7" i="1" s="1"/>
  <c r="F16" i="1"/>
  <c r="M16" i="1" s="1"/>
  <c r="F8" i="1"/>
  <c r="M8" i="1" s="1"/>
  <c r="F20" i="1"/>
  <c r="M20" i="1" s="1"/>
  <c r="F11" i="1"/>
  <c r="M11" i="1" s="1"/>
  <c r="F12" i="1"/>
  <c r="H12" i="1" s="1"/>
  <c r="I12" i="1" s="1"/>
  <c r="K12" i="1" s="1"/>
  <c r="B11" i="5" s="1"/>
  <c r="F14" i="1"/>
  <c r="M14" i="1" s="1"/>
  <c r="F6" i="1"/>
  <c r="H6" i="1" s="1"/>
  <c r="I6" i="1" s="1"/>
  <c r="K6" i="1" s="1"/>
  <c r="F5" i="1"/>
  <c r="M5" i="1" s="1"/>
  <c r="F10" i="1"/>
  <c r="M10" i="1" s="1"/>
  <c r="M17" i="1"/>
  <c r="M18" i="1"/>
  <c r="H18" i="1"/>
  <c r="I18" i="1" s="1"/>
  <c r="K18" i="1" s="1"/>
  <c r="B17" i="5" s="1"/>
  <c r="M21" i="1" l="1"/>
  <c r="M40" i="1"/>
  <c r="H23" i="1"/>
  <c r="I23" i="1" s="1"/>
  <c r="K23" i="1" s="1"/>
  <c r="B22" i="5" s="1"/>
  <c r="H25" i="1"/>
  <c r="I25" i="1" s="1"/>
  <c r="K25" i="1" s="1"/>
  <c r="B24" i="5" s="1"/>
  <c r="H28" i="1"/>
  <c r="I28" i="1" s="1"/>
  <c r="K28" i="1" s="1"/>
  <c r="B27" i="5" s="1"/>
  <c r="M49" i="1"/>
  <c r="M19" i="1"/>
  <c r="H24" i="1"/>
  <c r="I24" i="1" s="1"/>
  <c r="K24" i="1" s="1"/>
  <c r="B23" i="5" s="1"/>
  <c r="H52" i="1"/>
  <c r="I52" i="1" s="1"/>
  <c r="K52" i="1" s="1"/>
  <c r="B51" i="5" s="1"/>
  <c r="H51" i="1"/>
  <c r="I51" i="1" s="1"/>
  <c r="K51" i="1" s="1"/>
  <c r="B50" i="5" s="1"/>
  <c r="M64" i="1"/>
  <c r="H65" i="1"/>
  <c r="I65" i="1" s="1"/>
  <c r="K65" i="1" s="1"/>
  <c r="B64" i="5" s="1"/>
  <c r="M63" i="1"/>
  <c r="M12" i="1"/>
  <c r="M61" i="1"/>
  <c r="N2" i="1"/>
  <c r="C4" i="2" s="1"/>
  <c r="O6" i="1"/>
  <c r="B5" i="5"/>
  <c r="L2" i="1"/>
  <c r="P7" i="1" s="1"/>
  <c r="M42" i="1"/>
  <c r="H29" i="1"/>
  <c r="I29" i="1" s="1"/>
  <c r="K29" i="1" s="1"/>
  <c r="B28" i="5" s="1"/>
  <c r="M44" i="1"/>
  <c r="H9" i="1"/>
  <c r="I9" i="1" s="1"/>
  <c r="K9" i="1" s="1"/>
  <c r="B8" i="5" s="1"/>
  <c r="M32" i="1"/>
  <c r="H31" i="1"/>
  <c r="I31" i="1" s="1"/>
  <c r="K31" i="1" s="1"/>
  <c r="B30" i="5" s="1"/>
  <c r="H8" i="1"/>
  <c r="I8" i="1" s="1"/>
  <c r="K8" i="1" s="1"/>
  <c r="B7" i="5" s="1"/>
  <c r="H35" i="1"/>
  <c r="I35" i="1" s="1"/>
  <c r="K35" i="1" s="1"/>
  <c r="B34" i="5" s="1"/>
  <c r="H38" i="1"/>
  <c r="I38" i="1" s="1"/>
  <c r="K38" i="1" s="1"/>
  <c r="B37" i="5" s="1"/>
  <c r="H13" i="1"/>
  <c r="I13" i="1" s="1"/>
  <c r="K13" i="1" s="1"/>
  <c r="B12" i="5" s="1"/>
  <c r="M53" i="1"/>
  <c r="E47" i="18"/>
  <c r="D47" i="18"/>
  <c r="C47" i="18"/>
  <c r="D53" i="18"/>
  <c r="C53" i="18"/>
  <c r="E53" i="18"/>
  <c r="B54" i="18"/>
  <c r="M54" i="1"/>
  <c r="M66" i="1"/>
  <c r="M60" i="1"/>
  <c r="H46" i="1"/>
  <c r="I46" i="1" s="1"/>
  <c r="K46" i="1" s="1"/>
  <c r="B45" i="5" s="1"/>
  <c r="H57" i="1"/>
  <c r="I57" i="1" s="1"/>
  <c r="K57" i="1" s="1"/>
  <c r="B56" i="5" s="1"/>
  <c r="H11" i="1"/>
  <c r="I11" i="1" s="1"/>
  <c r="K11" i="1" s="1"/>
  <c r="B10" i="5" s="1"/>
  <c r="C8" i="2"/>
  <c r="C12" i="2"/>
  <c r="B52" i="18"/>
  <c r="B49" i="18"/>
  <c r="B50" i="18"/>
  <c r="B51" i="18"/>
  <c r="C11" i="2"/>
  <c r="H14" i="1"/>
  <c r="I14" i="1" s="1"/>
  <c r="K14" i="1" s="1"/>
  <c r="B13" i="5" s="1"/>
  <c r="M15" i="1"/>
  <c r="H48" i="1"/>
  <c r="I48" i="1" s="1"/>
  <c r="K48" i="1" s="1"/>
  <c r="B47" i="5" s="1"/>
  <c r="M47" i="1"/>
  <c r="H30" i="1"/>
  <c r="I30" i="1" s="1"/>
  <c r="K30" i="1" s="1"/>
  <c r="B29" i="5" s="1"/>
  <c r="M26" i="1"/>
  <c r="H50" i="1"/>
  <c r="I50" i="1" s="1"/>
  <c r="K50" i="1" s="1"/>
  <c r="B49" i="5" s="1"/>
  <c r="H59" i="1"/>
  <c r="I59" i="1" s="1"/>
  <c r="K59" i="1" s="1"/>
  <c r="B58" i="5" s="1"/>
  <c r="H58" i="1"/>
  <c r="I58" i="1" s="1"/>
  <c r="K58" i="1" s="1"/>
  <c r="B57" i="5" s="1"/>
  <c r="H62" i="1"/>
  <c r="I62" i="1" s="1"/>
  <c r="K62" i="1" s="1"/>
  <c r="B61" i="5" s="1"/>
  <c r="H7" i="1"/>
  <c r="I7" i="1" s="1"/>
  <c r="K7" i="1" s="1"/>
  <c r="M6" i="1"/>
  <c r="C21" i="2"/>
  <c r="C16" i="2"/>
  <c r="C14" i="2"/>
  <c r="C17" i="2"/>
  <c r="C7" i="2"/>
  <c r="C22" i="2"/>
  <c r="C9" i="2"/>
  <c r="C20" i="2"/>
  <c r="C15" i="2"/>
  <c r="C19" i="2"/>
  <c r="C23" i="2"/>
  <c r="C13" i="2"/>
  <c r="C18" i="2"/>
  <c r="C10" i="2"/>
  <c r="H5" i="1"/>
  <c r="I5" i="1" s="1"/>
  <c r="K5" i="1" s="1"/>
  <c r="H10" i="1"/>
  <c r="I10" i="1" s="1"/>
  <c r="K10" i="1" s="1"/>
  <c r="B9" i="5" s="1"/>
  <c r="H20" i="1"/>
  <c r="I20" i="1" s="1"/>
  <c r="K20" i="1" s="1"/>
  <c r="B19" i="5" s="1"/>
  <c r="H16" i="1"/>
  <c r="I16" i="1" s="1"/>
  <c r="K16" i="1" s="1"/>
  <c r="B15" i="5" s="1"/>
  <c r="H22" i="1"/>
  <c r="I22" i="1" s="1"/>
  <c r="K22" i="1" s="1"/>
  <c r="B21" i="5" s="1"/>
  <c r="M2" i="1" l="1"/>
  <c r="O5" i="1"/>
  <c r="B4" i="5"/>
  <c r="P12" i="1"/>
  <c r="Q12" i="1" s="1"/>
  <c r="P20" i="1"/>
  <c r="Q20" i="1" s="1"/>
  <c r="P28" i="1"/>
  <c r="Q28" i="1" s="1"/>
  <c r="P36" i="1"/>
  <c r="Q36" i="1" s="1"/>
  <c r="P44" i="1"/>
  <c r="Q44" i="1" s="1"/>
  <c r="P52" i="1"/>
  <c r="Q52" i="1" s="1"/>
  <c r="P60" i="1"/>
  <c r="Q60" i="1" s="1"/>
  <c r="P68" i="1"/>
  <c r="Q68" i="1" s="1"/>
  <c r="P76" i="1"/>
  <c r="Q76" i="1" s="1"/>
  <c r="P84" i="1"/>
  <c r="Q84" i="1" s="1"/>
  <c r="P92" i="1"/>
  <c r="Q92" i="1" s="1"/>
  <c r="P13" i="1"/>
  <c r="Q13" i="1" s="1"/>
  <c r="P29" i="1"/>
  <c r="Q29" i="1" s="1"/>
  <c r="P53" i="1"/>
  <c r="Q53" i="1" s="1"/>
  <c r="P69" i="1"/>
  <c r="Q69" i="1" s="1"/>
  <c r="P77" i="1"/>
  <c r="Q77" i="1" s="1"/>
  <c r="P101" i="1"/>
  <c r="Q101" i="1" s="1"/>
  <c r="P37" i="1"/>
  <c r="Q37" i="1" s="1"/>
  <c r="P6" i="1"/>
  <c r="Q6" i="1" s="1"/>
  <c r="P14" i="1"/>
  <c r="Q14" i="1" s="1"/>
  <c r="P22" i="1"/>
  <c r="Q22" i="1" s="1"/>
  <c r="P30" i="1"/>
  <c r="Q30" i="1" s="1"/>
  <c r="P38" i="1"/>
  <c r="Q38" i="1" s="1"/>
  <c r="P46" i="1"/>
  <c r="Q46" i="1" s="1"/>
  <c r="P54" i="1"/>
  <c r="Q54" i="1" s="1"/>
  <c r="P62" i="1"/>
  <c r="Q62" i="1" s="1"/>
  <c r="P70" i="1"/>
  <c r="Q70" i="1" s="1"/>
  <c r="P78" i="1"/>
  <c r="Q78" i="1" s="1"/>
  <c r="P86" i="1"/>
  <c r="Q86" i="1" s="1"/>
  <c r="P94" i="1"/>
  <c r="Q94" i="1" s="1"/>
  <c r="P102" i="1"/>
  <c r="Q102" i="1" s="1"/>
  <c r="P73" i="1"/>
  <c r="Q73" i="1" s="1"/>
  <c r="P15" i="1"/>
  <c r="Q15" i="1" s="1"/>
  <c r="P23" i="1"/>
  <c r="Q23" i="1" s="1"/>
  <c r="P31" i="1"/>
  <c r="Q31" i="1" s="1"/>
  <c r="P39" i="1"/>
  <c r="Q39" i="1" s="1"/>
  <c r="P47" i="1"/>
  <c r="Q47" i="1" s="1"/>
  <c r="P55" i="1"/>
  <c r="Q55" i="1" s="1"/>
  <c r="P63" i="1"/>
  <c r="Q63" i="1" s="1"/>
  <c r="P71" i="1"/>
  <c r="Q71" i="1" s="1"/>
  <c r="P79" i="1"/>
  <c r="Q79" i="1" s="1"/>
  <c r="P87" i="1"/>
  <c r="Q87" i="1" s="1"/>
  <c r="P95" i="1"/>
  <c r="Q95" i="1" s="1"/>
  <c r="P103" i="1"/>
  <c r="Q103" i="1" s="1"/>
  <c r="P17" i="1"/>
  <c r="Q17" i="1" s="1"/>
  <c r="P41" i="1"/>
  <c r="Q41" i="1" s="1"/>
  <c r="P57" i="1"/>
  <c r="Q57" i="1" s="1"/>
  <c r="P81" i="1"/>
  <c r="Q81" i="1" s="1"/>
  <c r="P8" i="1"/>
  <c r="Q8" i="1" s="1"/>
  <c r="P16" i="1"/>
  <c r="Q16" i="1" s="1"/>
  <c r="P24" i="1"/>
  <c r="Q24" i="1" s="1"/>
  <c r="P32" i="1"/>
  <c r="Q32" i="1" s="1"/>
  <c r="P40" i="1"/>
  <c r="Q40" i="1" s="1"/>
  <c r="P48" i="1"/>
  <c r="Q48" i="1" s="1"/>
  <c r="P56" i="1"/>
  <c r="Q56" i="1" s="1"/>
  <c r="P64" i="1"/>
  <c r="Q64" i="1" s="1"/>
  <c r="P72" i="1"/>
  <c r="Q72" i="1" s="1"/>
  <c r="P80" i="1"/>
  <c r="Q80" i="1" s="1"/>
  <c r="P88" i="1"/>
  <c r="Q88" i="1" s="1"/>
  <c r="P96" i="1"/>
  <c r="Q96" i="1" s="1"/>
  <c r="P104" i="1"/>
  <c r="Q104" i="1" s="1"/>
  <c r="P25" i="1"/>
  <c r="Q25" i="1" s="1"/>
  <c r="P33" i="1"/>
  <c r="Q33" i="1" s="1"/>
  <c r="P49" i="1"/>
  <c r="Q49" i="1" s="1"/>
  <c r="P65" i="1"/>
  <c r="Q65" i="1" s="1"/>
  <c r="P97" i="1"/>
  <c r="Q97" i="1" s="1"/>
  <c r="P9" i="1"/>
  <c r="Q9" i="1" s="1"/>
  <c r="P89" i="1"/>
  <c r="Q89" i="1" s="1"/>
  <c r="P10" i="1"/>
  <c r="Q10" i="1" s="1"/>
  <c r="P18" i="1"/>
  <c r="Q18" i="1" s="1"/>
  <c r="P26" i="1"/>
  <c r="Q26" i="1" s="1"/>
  <c r="P34" i="1"/>
  <c r="Q34" i="1" s="1"/>
  <c r="P42" i="1"/>
  <c r="Q42" i="1" s="1"/>
  <c r="P50" i="1"/>
  <c r="Q50" i="1" s="1"/>
  <c r="P58" i="1"/>
  <c r="Q58" i="1" s="1"/>
  <c r="P66" i="1"/>
  <c r="Q66" i="1" s="1"/>
  <c r="P74" i="1"/>
  <c r="Q74" i="1" s="1"/>
  <c r="P82" i="1"/>
  <c r="Q82" i="1" s="1"/>
  <c r="P90" i="1"/>
  <c r="Q90" i="1" s="1"/>
  <c r="P98" i="1"/>
  <c r="Q98" i="1" s="1"/>
  <c r="P21" i="1"/>
  <c r="Q21" i="1" s="1"/>
  <c r="P93" i="1"/>
  <c r="Q93" i="1" s="1"/>
  <c r="P11" i="1"/>
  <c r="Q11" i="1" s="1"/>
  <c r="P19" i="1"/>
  <c r="Q19" i="1" s="1"/>
  <c r="P27" i="1"/>
  <c r="Q27" i="1" s="1"/>
  <c r="P35" i="1"/>
  <c r="Q35" i="1" s="1"/>
  <c r="P43" i="1"/>
  <c r="Q43" i="1" s="1"/>
  <c r="P51" i="1"/>
  <c r="Q51" i="1" s="1"/>
  <c r="P59" i="1"/>
  <c r="Q59" i="1" s="1"/>
  <c r="P67" i="1"/>
  <c r="Q67" i="1" s="1"/>
  <c r="P75" i="1"/>
  <c r="Q75" i="1" s="1"/>
  <c r="P83" i="1"/>
  <c r="Q83" i="1" s="1"/>
  <c r="P91" i="1"/>
  <c r="Q91" i="1" s="1"/>
  <c r="P99" i="1"/>
  <c r="Q99" i="1" s="1"/>
  <c r="P100" i="1"/>
  <c r="Q100" i="1" s="1"/>
  <c r="P45" i="1"/>
  <c r="Q45" i="1" s="1"/>
  <c r="P61" i="1"/>
  <c r="Q61" i="1" s="1"/>
  <c r="P85" i="1"/>
  <c r="Q85" i="1" s="1"/>
  <c r="B6" i="5"/>
  <c r="K2" i="1"/>
  <c r="K1" i="1" s="1"/>
  <c r="B46" i="18" s="1"/>
  <c r="O7" i="1"/>
  <c r="Q7" i="1" s="1"/>
  <c r="D5" i="6"/>
  <c r="D54" i="18"/>
  <c r="C54" i="18"/>
  <c r="E54" i="18"/>
  <c r="E51" i="18"/>
  <c r="D51" i="18"/>
  <c r="C51" i="18"/>
  <c r="E50" i="18"/>
  <c r="D50" i="18"/>
  <c r="C50" i="18"/>
  <c r="D49" i="18"/>
  <c r="E49" i="18"/>
  <c r="C49" i="18"/>
  <c r="D52" i="18"/>
  <c r="C52" i="18"/>
  <c r="E52" i="18"/>
  <c r="C3" i="2"/>
  <c r="C25" i="2"/>
  <c r="C2" i="2"/>
  <c r="L4" i="1"/>
  <c r="P5" i="1"/>
  <c r="B2" i="5" l="1"/>
  <c r="E37" i="18"/>
  <c r="B29" i="18"/>
  <c r="C38" i="18" s="1"/>
  <c r="C1" i="18"/>
  <c r="C46" i="18"/>
  <c r="E46" i="18"/>
  <c r="D46" i="18"/>
  <c r="D3" i="2"/>
  <c r="P2" i="1"/>
  <c r="D27" i="2"/>
  <c r="C5" i="2"/>
  <c r="D2" i="2"/>
  <c r="D6" i="2"/>
  <c r="M1" i="1"/>
  <c r="D4" i="2"/>
  <c r="Q5" i="1"/>
  <c r="Q4" i="1" l="1"/>
  <c r="Q3" i="1" s="1"/>
  <c r="C27" i="18"/>
  <c r="C39" i="18"/>
  <c r="D41" i="18"/>
  <c r="D5" i="2"/>
  <c r="C24" i="2"/>
  <c r="C26" i="2" l="1"/>
  <c r="C28" i="2" s="1"/>
  <c r="D42" i="18"/>
  <c r="C40" i="18"/>
  <c r="C42" i="18" s="1"/>
  <c r="D39" i="18"/>
  <c r="D40" i="18" s="1"/>
  <c r="C9" i="18"/>
  <c r="D9" i="18" s="1"/>
  <c r="D10" i="18" s="1"/>
  <c r="B20" i="18" s="1"/>
  <c r="C4" i="18"/>
  <c r="D4" i="18" s="1"/>
  <c r="D5" i="18" s="1"/>
  <c r="B19" i="18" s="1"/>
  <c r="B28" i="18"/>
  <c r="C15" i="18"/>
  <c r="D15" i="18" s="1"/>
  <c r="D16" i="18" s="1"/>
  <c r="B21" i="18" s="1"/>
  <c r="D26" i="2" l="1"/>
  <c r="B31" i="18"/>
  <c r="B30" i="18"/>
  <c r="D28" i="2"/>
  <c r="B32" i="18"/>
  <c r="C43" i="18"/>
  <c r="C36" i="18" s="1"/>
  <c r="B43" i="18" s="1"/>
  <c r="D43" i="18"/>
  <c r="B33" i="18" l="1"/>
  <c r="C34" i="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Edison Leismann</author>
  </authors>
  <commentList>
    <comment ref="H3" authorId="0" shapeId="0" xr:uid="{00000000-0006-0000-0000-000001000000}">
      <text>
        <r>
          <rPr>
            <b/>
            <sz val="9"/>
            <color indexed="81"/>
            <rFont val="Segoe UI"/>
            <family val="2"/>
          </rPr>
          <t xml:space="preserve">Por exemplo. No dia 01.07.2019, planejar o mês e salvar planilha PLAN010719. No final do mês, alterar o que não ocorreu de acordo com o planejado e salvar RESULT310719. 
Usar, na sequência, essa planilha e salvar como PLAN010819. </t>
        </r>
        <r>
          <rPr>
            <sz val="9"/>
            <color indexed="81"/>
            <rFont val="Segoe UI"/>
            <family val="2"/>
          </rPr>
          <t xml:space="preserve">
Assim, será necessário fazer pequenas alterações, de acordo com as previsões para o novo mês. Mas seriam preservadas todas as informações de margens do Break Even Points e os custos fixos digitados em DRE.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Edison Leismann</author>
  </authors>
  <commentList>
    <comment ref="B4" authorId="0" shapeId="0" xr:uid="{00000000-0006-0000-0200-000001000000}">
      <text>
        <r>
          <rPr>
            <sz val="9"/>
            <color indexed="81"/>
            <rFont val="Segoe UI"/>
            <family val="2"/>
          </rPr>
          <t xml:space="preserve">Lançar aqui os produtos ou serviços ofertados pela empresa. Cada contrato deve ser lançado.
</t>
        </r>
      </text>
    </comment>
    <comment ref="C4" authorId="0" shapeId="0" xr:uid="{00000000-0006-0000-0200-000002000000}">
      <text>
        <r>
          <rPr>
            <b/>
            <sz val="9"/>
            <color indexed="81"/>
            <rFont val="Segoe UI"/>
            <family val="2"/>
          </rPr>
          <t xml:space="preserve">Informar aqui o preço recebido por mês. Contratos recebidos antecipadamente poderiam ter sua receita dividida pelo período em que o serviço será prestado, para permitir uma alocação correta da receita.  </t>
        </r>
        <r>
          <rPr>
            <sz val="9"/>
            <color indexed="81"/>
            <rFont val="Segoe UI"/>
            <family val="2"/>
          </rPr>
          <t xml:space="preserve">
</t>
        </r>
      </text>
    </comment>
    <comment ref="D4" authorId="0" shapeId="0" xr:uid="{00000000-0006-0000-0200-000003000000}">
      <text>
        <r>
          <rPr>
            <sz val="9"/>
            <color indexed="81"/>
            <rFont val="Segoe UI"/>
            <family val="2"/>
          </rPr>
          <t xml:space="preserve">Lançar aqui custos específicos para atender o contrato ou outros custos relativos ao contrato ou produto adquirido para venda (exemplo, frete, ou custo específico para o contrato). Referência mensal para serviços e por unidade para produtos.
</t>
        </r>
      </text>
    </comment>
    <comment ref="E4" authorId="0" shapeId="0" xr:uid="{00000000-0006-0000-0200-000004000000}">
      <text>
        <r>
          <rPr>
            <sz val="9"/>
            <color indexed="81"/>
            <rFont val="Segoe UI"/>
            <family val="2"/>
          </rPr>
          <t xml:space="preserve">Custo da mão de obra aplicada para a execução do serviço. Nr. de horas para cada projeto x o custo de cada hora.
</t>
        </r>
      </text>
    </comment>
    <comment ref="G4" authorId="0" shapeId="0" xr:uid="{00000000-0006-0000-0200-000005000000}">
      <text>
        <r>
          <rPr>
            <sz val="9"/>
            <color indexed="81"/>
            <rFont val="Times New Roman"/>
            <family val="1"/>
          </rPr>
          <t>Lançar aqui % de comissão ou impostos a serem pagos. Calculado sobre o preço de venda.</t>
        </r>
        <r>
          <rPr>
            <sz val="9"/>
            <color indexed="81"/>
            <rFont val="Segoe U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FP876</author>
  </authors>
  <commentList>
    <comment ref="B27" authorId="0" shapeId="0" xr:uid="{00000000-0006-0000-0400-000001000000}">
      <text>
        <r>
          <rPr>
            <b/>
            <sz val="8"/>
            <color indexed="81"/>
            <rFont val="Tahoma"/>
            <family val="2"/>
          </rPr>
          <t>Uma empresa não é montada para gerar apenas o Custo de Oportunidade. Ao identificar um projeto viável, pretende-se obter o máximo de retorno possível. Fazer projeções como metas a serem atingidas faz parte do planejamento financeiro.
LANCE AQUI O GANHO DESEJADO NO PERÍODO (LUCRO ECONÔMICO).</t>
        </r>
        <r>
          <rPr>
            <sz val="8"/>
            <color indexed="81"/>
            <rFont val="Tahoma"/>
            <family val="2"/>
          </rPr>
          <t xml:space="preserve">
</t>
        </r>
      </text>
    </comment>
  </commentList>
</comments>
</file>

<file path=xl/sharedStrings.xml><?xml version="1.0" encoding="utf-8"?>
<sst xmlns="http://schemas.openxmlformats.org/spreadsheetml/2006/main" count="185" uniqueCount="176">
  <si>
    <t>Mensal</t>
  </si>
  <si>
    <t>Contribuição Total</t>
  </si>
  <si>
    <t>Previsão</t>
  </si>
  <si>
    <t>Vendas ou</t>
  </si>
  <si>
    <t>LISTA DE PREÇOS DOS PRODUTOS E SERVIÇOS</t>
  </si>
  <si>
    <t>DATA:</t>
  </si>
  <si>
    <t>MÊS</t>
  </si>
  <si>
    <t>;</t>
  </si>
  <si>
    <t>Receita</t>
  </si>
  <si>
    <t xml:space="preserve">M.C.U. </t>
  </si>
  <si>
    <t xml:space="preserve">M.C.T=Margem de </t>
  </si>
  <si>
    <t>VENDAS:</t>
  </si>
  <si>
    <t>Custos dos Materiais:</t>
  </si>
  <si>
    <t>Comissões e outros Custos Variáveis:</t>
  </si>
  <si>
    <t>MARGEM DE CONTRIBUIÇÃO</t>
  </si>
  <si>
    <t xml:space="preserve">Custo dos </t>
  </si>
  <si>
    <t>Preço de Venda</t>
  </si>
  <si>
    <t>Comissões</t>
  </si>
  <si>
    <t>LUCRO ANTES DOS IMPOSTOS:</t>
  </si>
  <si>
    <t>LUCRO DO MÊS:</t>
  </si>
  <si>
    <t>DEPRECIAÇÃO</t>
  </si>
  <si>
    <t>das vendas atuais.</t>
  </si>
  <si>
    <t>Margem de Contribuição Total</t>
  </si>
  <si>
    <t>JUROS -Despesas Financeiras Líquidas</t>
  </si>
  <si>
    <t>AMORTIZAÇÃO DE EMPRÉSTIMOS:</t>
  </si>
  <si>
    <t>DEPRECIAÇÃO:</t>
  </si>
  <si>
    <t>VALOR ATUAL DA EMPRESA:</t>
  </si>
  <si>
    <t>Taxa de juros mensal:</t>
  </si>
  <si>
    <t>=Custo de oportunidade</t>
  </si>
  <si>
    <t>e Impostos</t>
  </si>
  <si>
    <t>MCMP=</t>
  </si>
  <si>
    <t>ou</t>
  </si>
  <si>
    <t>PRODUTO OU SERVIÇO</t>
  </si>
  <si>
    <t>MC%</t>
  </si>
  <si>
    <t>Unitária</t>
  </si>
  <si>
    <t>Partic.</t>
  </si>
  <si>
    <t>Relativa</t>
  </si>
  <si>
    <t>MCMP</t>
  </si>
  <si>
    <t>Variável</t>
  </si>
  <si>
    <t>GRAU DE ALAVANCAGEM OPERACIONAL NESTE NÍVEL....:</t>
  </si>
  <si>
    <t>GAO</t>
  </si>
  <si>
    <t>Custo Variável</t>
  </si>
  <si>
    <t>Variação no Lucro</t>
  </si>
  <si>
    <t>Variação na Receita:</t>
  </si>
  <si>
    <t>Ponto de Atingimento da META:</t>
  </si>
  <si>
    <t>Remuneração</t>
  </si>
  <si>
    <t>META DE LUCRO ADICIONAL</t>
  </si>
  <si>
    <t>AO CUSTO DE OPORTUNIDADE:</t>
  </si>
  <si>
    <t>=Faturamento META</t>
  </si>
  <si>
    <t>Faturamento Atual ou Projetado:</t>
  </si>
  <si>
    <t>DIFERENÇA OBSERVADA............=</t>
  </si>
  <si>
    <t>Diferença em Faturamento</t>
  </si>
  <si>
    <t>LUCRO ECONÔMICO</t>
  </si>
  <si>
    <t>Lucro Contábil Esperado.................=</t>
  </si>
  <si>
    <t>Custo 2</t>
  </si>
  <si>
    <t xml:space="preserve">% </t>
  </si>
  <si>
    <t>Impostos</t>
  </si>
  <si>
    <t>TOTAL DOS CUSTOS FIXOS (Inclusive financeiro)</t>
  </si>
  <si>
    <t>Outros Impostos:</t>
  </si>
  <si>
    <t>CONTÁBIL</t>
  </si>
  <si>
    <t>FINANCEIRA</t>
  </si>
  <si>
    <t>ECONÔMICA</t>
  </si>
  <si>
    <t xml:space="preserve">                                             LAJIR = LUCRO OPERACIONAL=</t>
  </si>
  <si>
    <t>Compatibility Report for Break Even Points e Margens de Segurança Contábil Econômica e Financeira.xls</t>
  </si>
  <si>
    <t>Run on 08/07/2010 19:09</t>
  </si>
  <si>
    <t>The following features in this workbook are not supported by earlier versions of Excel. These features may be lost or degraded when opening this workbook in an earlier version of Excel or if you save this workbook in an earlier file format.</t>
  </si>
  <si>
    <t>Minor loss of fidelity</t>
  </si>
  <si>
    <t># of occurrences</t>
  </si>
  <si>
    <t>Version</t>
  </si>
  <si>
    <t>Some cells or styles in this workbook contain formatting that is not supported by the selected file format. These formats will be converted to the closest format available.</t>
  </si>
  <si>
    <t>Excel 97-2003</t>
  </si>
  <si>
    <t>Margem de Segurança</t>
  </si>
  <si>
    <t>Vendas ou Previsão de Vendas Atual</t>
  </si>
  <si>
    <t>RESUMO DAS MARGENS DE SEGURANÇA</t>
  </si>
  <si>
    <t>Quanto % pode cair o valor das vendas</t>
  </si>
  <si>
    <t>para atingir os Pontos de Equilíbrios</t>
  </si>
  <si>
    <t>correspondentes.</t>
  </si>
  <si>
    <t>Considerando % MCMP</t>
  </si>
  <si>
    <t>Para cobrir o Custo de Oportunidade e gerar Lucro Econômico</t>
  </si>
  <si>
    <t>Se esse resultado for superior ao Esperado, &gt; Lucro Econômico.</t>
  </si>
  <si>
    <t>Diferença em LUCRO em relação ao Esperado (META)</t>
  </si>
  <si>
    <t xml:space="preserve">LUCRO ECONÔMICO </t>
  </si>
  <si>
    <t>Se a diferença for negativa, atuar para corrigir.</t>
  </si>
  <si>
    <t xml:space="preserve">                                                        Margem de Contribuição (R$)=</t>
  </si>
  <si>
    <t xml:space="preserve">                                                 Lucro Operacional=LAJIR=(R$)=</t>
  </si>
  <si>
    <t>Custo Fixo(R$)=</t>
  </si>
  <si>
    <t>Vendas Atuais:</t>
  </si>
  <si>
    <t>Receita Nova:</t>
  </si>
  <si>
    <t>Sem Despesas Financeiras</t>
  </si>
  <si>
    <t>Variação na receita para dobrar ou zerar lucros=</t>
  </si>
  <si>
    <t>MARGEM DE CONTRIBUIÇÃO ATUAL:</t>
  </si>
  <si>
    <t>MÉDIA DOS PERÍODOS ANTERIORES</t>
  </si>
  <si>
    <t>DESVIO PADRÃO DA SÉRIE HISTÓRICA:</t>
  </si>
  <si>
    <t>MÉDIA MAIS UM DESVIO PADRÃO</t>
  </si>
  <si>
    <t>MÉDIA MENOS UM DESVIO PADRÃO</t>
  </si>
  <si>
    <t>MÉDIA MENOS 3 DESVIOS PADRÃO</t>
  </si>
  <si>
    <t>MÉDIA MAIS 3 DESVIOS PADRÃO</t>
  </si>
  <si>
    <t>MÉDIA MENOS 2 DESVIOS PADRÃO</t>
  </si>
  <si>
    <t>MÉDIA MAIS 2 DESVIOS PADRÃO</t>
  </si>
  <si>
    <t>MÊS OU PERÍODO</t>
  </si>
  <si>
    <t>P. EQ.CONTÁBIL</t>
  </si>
  <si>
    <t>ECONÔMICO</t>
  </si>
  <si>
    <t>P. EQ.FINANCEIRO</t>
  </si>
  <si>
    <t>MCMP OBSERVADAS..............................=</t>
  </si>
  <si>
    <t>LIMPAR dados</t>
  </si>
  <si>
    <t>DIGITADOS</t>
  </si>
  <si>
    <t>Utilizar somente em novo projeto</t>
  </si>
  <si>
    <t>MOEDA</t>
  </si>
  <si>
    <t>MOEDA:</t>
  </si>
  <si>
    <t>DÓLAR</t>
  </si>
  <si>
    <t>GUARANI</t>
  </si>
  <si>
    <t>REAL</t>
  </si>
  <si>
    <t>Custo Direto</t>
  </si>
  <si>
    <t>Outros Custos</t>
  </si>
  <si>
    <t>Total CUSTO 1</t>
  </si>
  <si>
    <t>produtos/serviços</t>
  </si>
  <si>
    <t>Aluguel sala</t>
  </si>
  <si>
    <t>Aluguel software de programação</t>
  </si>
  <si>
    <t>Energia elétrica</t>
  </si>
  <si>
    <t>combustível (estimativa mensal).</t>
  </si>
  <si>
    <t>Folha de pagamento</t>
  </si>
  <si>
    <t>Encargos</t>
  </si>
  <si>
    <t>PONTO DE EQUILÍBRIO CONTÁBIL.........................:</t>
  </si>
  <si>
    <t>PONTO DE EQUILÍBRIO FINANCEIRO....................:</t>
  </si>
  <si>
    <t>PONTO DE EQUILÍBRIO ECONÔMICO ...................:</t>
  </si>
  <si>
    <t>Sugestão: Utilizar a planilha</t>
  </si>
  <si>
    <t xml:space="preserve">para planejar os resultados do </t>
  </si>
  <si>
    <t>mês. Ao fechar, avaliar resultados.</t>
  </si>
  <si>
    <t>Lucro Contábil Atual ou Projetado.=</t>
  </si>
  <si>
    <t xml:space="preserve">CONTROLE E PLANEJAMENTO DE RESULTADOS </t>
  </si>
  <si>
    <t>Pro Labore</t>
  </si>
  <si>
    <t>RESUMO DOS RESULTADOS</t>
  </si>
  <si>
    <t>Estatística de regressão</t>
  </si>
  <si>
    <t>R múltiplo</t>
  </si>
  <si>
    <t>R-Quadrado</t>
  </si>
  <si>
    <t>R-quadrado ajustado</t>
  </si>
  <si>
    <t>Erro padrão</t>
  </si>
  <si>
    <t>Observações</t>
  </si>
  <si>
    <t>ANOVA</t>
  </si>
  <si>
    <t>Regressão</t>
  </si>
  <si>
    <t>Resíduo</t>
  </si>
  <si>
    <t>Total</t>
  </si>
  <si>
    <t>Interseção</t>
  </si>
  <si>
    <t>gl</t>
  </si>
  <si>
    <t>SQ</t>
  </si>
  <si>
    <t>MQ</t>
  </si>
  <si>
    <t>F</t>
  </si>
  <si>
    <t>F de significação</t>
  </si>
  <si>
    <t>Coeficientes</t>
  </si>
  <si>
    <t>Stat t</t>
  </si>
  <si>
    <t>valor-P</t>
  </si>
  <si>
    <t>95% inferiores</t>
  </si>
  <si>
    <t>95% superiores</t>
  </si>
  <si>
    <t>Inferior 95,0%</t>
  </si>
  <si>
    <t>Superior 95,0%</t>
  </si>
  <si>
    <t>Autor: Prof. Dr. EDISON LUIZ LEISMANN  - 45-99966-3434 -</t>
  </si>
  <si>
    <t>e-mail: elleismann@hotmail.com</t>
  </si>
  <si>
    <t>Observação</t>
  </si>
  <si>
    <t>Preço</t>
  </si>
  <si>
    <t>Este espaço está destinado a realização de estimativas de DEMANDA para o produto.</t>
  </si>
  <si>
    <t>Caso tenha uma série histórica, copie e cole o preço e a quantidade vendida (normalmente se utiliza o mês,</t>
  </si>
  <si>
    <t>mas pode ser por dia, você define a periodicidade).  Caso não tenha, pode estimar com base em análises qualitativas.</t>
  </si>
  <si>
    <t>Feito isso, chame a FUNÇÃO REGRESSÃO LINEAR em DADOS/ANÁLISE DE DADOS.</t>
  </si>
  <si>
    <t>Faturamento</t>
  </si>
  <si>
    <t>X=Variável Independete (ou Variável Explicativa); Y=Variável Dependente (ou Explicada). Rótulos=título da coluna.</t>
  </si>
  <si>
    <t>PREÇO=</t>
  </si>
  <si>
    <t>QUANTIDADE ESTIMADA:</t>
  </si>
  <si>
    <t>Quantidade Estimada</t>
  </si>
  <si>
    <t>Contador</t>
  </si>
  <si>
    <t>Lucro Operacional da Lista</t>
  </si>
  <si>
    <t>PRODUTOS OU SERVIÇOS</t>
  </si>
  <si>
    <t>VALOR DO CUSTO FIXO</t>
  </si>
  <si>
    <t>Em Desenvolvedor, clicar em MACROS</t>
  </si>
  <si>
    <t>Localizar Classificar e clicar em Executar</t>
  </si>
  <si>
    <t>Alternativamente, na barra de fórmulas, em DADOS, classifique de Z para A, colocando</t>
  </si>
  <si>
    <t>a Margem de Contribuição como a referência, do Marior para o Menor.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</si>
</sst>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quot;R$&quot;#,##0.00_);\(&quot;R$&quot;#,##0.00\)"/>
    <numFmt numFmtId="166" formatCode="0.0%"/>
    <numFmt numFmtId="167" formatCode="&quot;R$&quot;#,##0.00"/>
    <numFmt numFmtId="168" formatCode="_(* #,##0.000_);_(* \(#,##0.000\);_(* &quot;-&quot;??_);_(@_)"/>
    <numFmt numFmtId="169" formatCode="_(* #,##0.0000_);_(* \(#,##0.0000\);_(* &quot;-&quot;??_);_(@_)"/>
    <numFmt numFmtId="170" formatCode="_(* #,##0.00000_);_(* \(#,##0.00000\);_(* &quot;-&quot;??_);_(@_)"/>
    <numFmt numFmtId="171" formatCode="_-[$R$-416]\ * #,##0.00_-;\-[$R$-416]\ * #,##0.00_-;_-[$R$-416]\ * &quot;-&quot;??_-;_-@_-"/>
  </numFmts>
  <fonts count="45" x14ac:knownFonts="1">
    <font>
      <sz val="10"/>
      <name val="Arial"/>
    </font>
    <font>
      <sz val="10"/>
      <name val="Arial"/>
      <family val="2"/>
    </font>
    <font>
      <b/>
      <sz val="10"/>
      <name val="Arial"/>
      <family val="2"/>
    </font>
    <font>
      <b/>
      <sz val="10"/>
      <color indexed="62"/>
      <name val="Arial"/>
      <family val="2"/>
    </font>
    <font>
      <sz val="10"/>
      <color indexed="62"/>
      <name val="Arial"/>
      <family val="2"/>
    </font>
    <font>
      <b/>
      <sz val="9"/>
      <name val="Arial"/>
      <family val="2"/>
    </font>
    <font>
      <b/>
      <i/>
      <sz val="10"/>
      <name val="Arial"/>
      <family val="2"/>
    </font>
    <font>
      <sz val="10"/>
      <name val="Arial"/>
      <family val="2"/>
    </font>
    <font>
      <sz val="9"/>
      <name val="Arial"/>
      <family val="2"/>
    </font>
    <font>
      <b/>
      <i/>
      <sz val="9"/>
      <name val="Arial"/>
      <family val="2"/>
    </font>
    <font>
      <b/>
      <i/>
      <u/>
      <sz val="10"/>
      <name val="Arial"/>
      <family val="2"/>
    </font>
    <font>
      <u/>
      <sz val="10"/>
      <name val="Arial"/>
      <family val="2"/>
    </font>
    <font>
      <sz val="8"/>
      <name val="Arial"/>
      <family val="2"/>
    </font>
    <font>
      <b/>
      <sz val="10"/>
      <color indexed="12"/>
      <name val="Arial"/>
      <family val="2"/>
    </font>
    <font>
      <i/>
      <sz val="10"/>
      <name val="Arial"/>
      <family val="2"/>
    </font>
    <font>
      <b/>
      <sz val="12"/>
      <name val="Arial"/>
      <family val="2"/>
    </font>
    <font>
      <b/>
      <sz val="8"/>
      <name val="Arial"/>
      <family val="2"/>
    </font>
    <font>
      <b/>
      <sz val="7"/>
      <name val="Arial"/>
      <family val="2"/>
    </font>
    <font>
      <b/>
      <sz val="8.5"/>
      <name val="Arial"/>
      <family val="2"/>
    </font>
    <font>
      <b/>
      <u/>
      <sz val="10"/>
      <name val="Arial"/>
      <family val="2"/>
    </font>
    <font>
      <b/>
      <sz val="10"/>
      <color indexed="56"/>
      <name val="Arial"/>
      <family val="2"/>
    </font>
    <font>
      <sz val="8"/>
      <color indexed="81"/>
      <name val="Tahoma"/>
      <family val="2"/>
    </font>
    <font>
      <b/>
      <sz val="8"/>
      <color indexed="81"/>
      <name val="Tahoma"/>
      <family val="2"/>
    </font>
    <font>
      <sz val="8"/>
      <name val="Arial"/>
      <family val="2"/>
    </font>
    <font>
      <b/>
      <sz val="8"/>
      <name val="Arial"/>
      <family val="2"/>
    </font>
    <font>
      <sz val="9"/>
      <color indexed="81"/>
      <name val="Segoe UI"/>
      <family val="2"/>
    </font>
    <font>
      <b/>
      <sz val="9"/>
      <color indexed="81"/>
      <name val="Segoe UI"/>
      <family val="2"/>
    </font>
    <font>
      <sz val="24"/>
      <name val="Arial"/>
      <family val="2"/>
    </font>
    <font>
      <sz val="11"/>
      <name val="Arial"/>
      <family val="2"/>
    </font>
    <font>
      <sz val="12"/>
      <name val="Arial"/>
      <family val="2"/>
    </font>
    <font>
      <sz val="9"/>
      <color indexed="81"/>
      <name val="Times New Roman"/>
      <family val="1"/>
    </font>
    <font>
      <b/>
      <i/>
      <sz val="8"/>
      <name val="Arial"/>
      <family val="2"/>
    </font>
    <font>
      <b/>
      <sz val="9"/>
      <color indexed="12"/>
      <name val="Arial"/>
      <family val="2"/>
    </font>
    <font>
      <b/>
      <sz val="13"/>
      <name val="Arial"/>
      <family val="2"/>
    </font>
    <font>
      <sz val="10"/>
      <name val="Arial"/>
      <family val="2"/>
    </font>
    <font>
      <b/>
      <sz val="16"/>
      <name val="Arial"/>
      <family val="2"/>
    </font>
    <font>
      <b/>
      <i/>
      <sz val="16"/>
      <name val="Arial"/>
      <family val="2"/>
    </font>
    <font>
      <sz val="10"/>
      <color rgb="FF000000"/>
      <name val="Arial"/>
      <family val="2"/>
    </font>
    <font>
      <sz val="14"/>
      <name val="Arial"/>
      <family val="2"/>
    </font>
    <font>
      <b/>
      <sz val="14"/>
      <name val="Arial"/>
      <family val="2"/>
    </font>
    <font>
      <b/>
      <sz val="18"/>
      <name val="Arial"/>
      <family val="2"/>
    </font>
    <font>
      <b/>
      <sz val="16"/>
      <color rgb="FF000000"/>
      <name val="Arial"/>
      <family val="2"/>
    </font>
    <font>
      <b/>
      <sz val="10"/>
      <color rgb="FF000000"/>
      <name val="Arial"/>
      <family val="2"/>
    </font>
    <font>
      <i/>
      <sz val="16"/>
      <name val="Arial"/>
      <family val="2"/>
    </font>
    <font>
      <sz val="16"/>
      <name val="Arial"/>
      <family val="2"/>
    </font>
  </fonts>
  <fills count="16">
    <fill>
      <patternFill patternType="none"/>
    </fill>
    <fill>
      <patternFill patternType="gray125"/>
    </fill>
    <fill>
      <patternFill patternType="solid">
        <fgColor indexed="42"/>
        <bgColor indexed="64"/>
      </patternFill>
    </fill>
    <fill>
      <patternFill patternType="solid">
        <fgColor indexed="13"/>
        <bgColor indexed="64"/>
      </patternFill>
    </fill>
    <fill>
      <patternFill patternType="solid">
        <fgColor indexed="43"/>
        <bgColor indexed="64"/>
      </patternFill>
    </fill>
    <fill>
      <patternFill patternType="solid">
        <fgColor indexed="41"/>
        <bgColor indexed="64"/>
      </patternFill>
    </fill>
    <fill>
      <patternFill patternType="solid">
        <fgColor indexed="9"/>
        <bgColor indexed="64"/>
      </patternFill>
    </fill>
    <fill>
      <patternFill patternType="solid">
        <fgColor indexed="22"/>
        <bgColor indexed="64"/>
      </patternFill>
    </fill>
    <fill>
      <patternFill patternType="solid">
        <fgColor indexed="44"/>
        <bgColor indexed="64"/>
      </patternFill>
    </fill>
    <fill>
      <patternFill patternType="solid">
        <fgColor theme="3" tint="0.59999389629810485"/>
        <bgColor indexed="64"/>
      </patternFill>
    </fill>
    <fill>
      <patternFill patternType="solid">
        <fgColor rgb="FFFFC000"/>
        <bgColor indexed="64"/>
      </patternFill>
    </fill>
    <fill>
      <patternFill patternType="solid">
        <fgColor theme="4" tint="0.79998168889431442"/>
        <bgColor indexed="64"/>
      </patternFill>
    </fill>
    <fill>
      <patternFill patternType="solid">
        <fgColor theme="2"/>
        <bgColor indexed="64"/>
      </patternFill>
    </fill>
    <fill>
      <patternFill patternType="solid">
        <fgColor rgb="FF00B0F0"/>
        <bgColor indexed="64"/>
      </patternFill>
    </fill>
    <fill>
      <patternFill patternType="solid">
        <fgColor rgb="FFFFFF00"/>
        <bgColor indexed="64"/>
      </patternFill>
    </fill>
    <fill>
      <patternFill patternType="solid">
        <fgColor theme="2" tint="-0.249977111117893"/>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s>
  <cellStyleXfs count="3">
    <xf numFmtId="0" fontId="0" fillId="0" borderId="0"/>
    <xf numFmtId="9" fontId="1" fillId="0" borderId="0" applyFont="0" applyFill="0" applyBorder="0" applyAlignment="0" applyProtection="0"/>
    <xf numFmtId="164" fontId="1" fillId="0" borderId="0" applyFont="0" applyFill="0" applyBorder="0" applyAlignment="0" applyProtection="0"/>
  </cellStyleXfs>
  <cellXfs count="265">
    <xf numFmtId="0" fontId="0" fillId="0" borderId="0" xfId="0"/>
    <xf numFmtId="0" fontId="2" fillId="0" borderId="0" xfId="0" applyFont="1"/>
    <xf numFmtId="164" fontId="0" fillId="0" borderId="0" xfId="2" applyFont="1"/>
    <xf numFmtId="9" fontId="0" fillId="0" borderId="0" xfId="1" applyFont="1"/>
    <xf numFmtId="0" fontId="5" fillId="0" borderId="0" xfId="0" applyFont="1"/>
    <xf numFmtId="165" fontId="0" fillId="0" borderId="0" xfId="2" applyNumberFormat="1" applyFont="1"/>
    <xf numFmtId="167" fontId="0" fillId="0" borderId="0" xfId="0" applyNumberFormat="1"/>
    <xf numFmtId="165" fontId="2" fillId="2" borderId="2" xfId="0" applyNumberFormat="1" applyFont="1" applyFill="1" applyBorder="1" applyAlignment="1">
      <alignment horizontal="center"/>
    </xf>
    <xf numFmtId="0" fontId="2" fillId="0" borderId="0" xfId="0" applyFont="1" applyAlignment="1">
      <alignment horizontal="center"/>
    </xf>
    <xf numFmtId="165" fontId="2" fillId="0" borderId="0" xfId="2" applyNumberFormat="1" applyFont="1"/>
    <xf numFmtId="0" fontId="0" fillId="0" borderId="0" xfId="0" applyAlignment="1">
      <alignment horizontal="right"/>
    </xf>
    <xf numFmtId="0" fontId="2" fillId="0" borderId="0" xfId="0" applyFont="1" applyAlignment="1">
      <alignment horizontal="right"/>
    </xf>
    <xf numFmtId="0" fontId="4" fillId="0" borderId="1" xfId="0" applyFont="1" applyBorder="1" applyProtection="1">
      <protection locked="0"/>
    </xf>
    <xf numFmtId="0" fontId="3" fillId="0" borderId="1" xfId="0" applyFont="1" applyBorder="1" applyAlignment="1" applyProtection="1">
      <alignment horizontal="center"/>
      <protection locked="0"/>
    </xf>
    <xf numFmtId="165" fontId="7" fillId="2" borderId="3" xfId="0" applyNumberFormat="1" applyFont="1" applyFill="1" applyBorder="1" applyAlignment="1">
      <alignment horizontal="center"/>
    </xf>
    <xf numFmtId="0" fontId="7" fillId="2" borderId="4" xfId="0" applyFont="1" applyFill="1" applyBorder="1" applyAlignment="1">
      <alignment horizontal="center"/>
    </xf>
    <xf numFmtId="0" fontId="0" fillId="2" borderId="2" xfId="0" applyFill="1" applyBorder="1"/>
    <xf numFmtId="166" fontId="0" fillId="0" borderId="1" xfId="1" applyNumberFormat="1" applyFont="1" applyBorder="1"/>
    <xf numFmtId="166" fontId="0" fillId="0" borderId="0" xfId="0" applyNumberFormat="1"/>
    <xf numFmtId="0" fontId="10" fillId="0" borderId="0" xfId="0" applyFont="1" applyAlignment="1">
      <alignment horizontal="right"/>
    </xf>
    <xf numFmtId="166" fontId="0" fillId="0" borderId="0" xfId="1" applyNumberFormat="1" applyFont="1" applyAlignment="1">
      <alignment horizontal="left"/>
    </xf>
    <xf numFmtId="166" fontId="0" fillId="0" borderId="0" xfId="0" applyNumberFormat="1" applyAlignment="1">
      <alignment horizontal="left"/>
    </xf>
    <xf numFmtId="166" fontId="11" fillId="0" borderId="0" xfId="1" applyNumberFormat="1" applyFont="1" applyAlignment="1">
      <alignment horizontal="left"/>
    </xf>
    <xf numFmtId="165" fontId="12" fillId="2" borderId="2" xfId="0" applyNumberFormat="1" applyFont="1" applyFill="1" applyBorder="1" applyAlignment="1">
      <alignment horizontal="center"/>
    </xf>
    <xf numFmtId="166" fontId="0" fillId="0" borderId="0" xfId="1" applyNumberFormat="1" applyFont="1"/>
    <xf numFmtId="0" fontId="6" fillId="0" borderId="0" xfId="0" applyFont="1"/>
    <xf numFmtId="166" fontId="0" fillId="0" borderId="5" xfId="1" applyNumberFormat="1" applyFont="1" applyBorder="1"/>
    <xf numFmtId="0" fontId="2" fillId="3" borderId="6" xfId="0" applyFont="1" applyFill="1" applyBorder="1"/>
    <xf numFmtId="166" fontId="2" fillId="3" borderId="7" xfId="1" applyNumberFormat="1" applyFont="1" applyFill="1" applyBorder="1"/>
    <xf numFmtId="0" fontId="2" fillId="0" borderId="1" xfId="0" applyFont="1" applyBorder="1" applyProtection="1">
      <protection locked="0"/>
    </xf>
    <xf numFmtId="0" fontId="2" fillId="3" borderId="8" xfId="0" applyFont="1" applyFill="1" applyBorder="1" applyAlignment="1">
      <alignment horizontal="right"/>
    </xf>
    <xf numFmtId="10" fontId="6" fillId="3" borderId="8" xfId="1" applyNumberFormat="1" applyFont="1" applyFill="1" applyBorder="1"/>
    <xf numFmtId="0" fontId="7" fillId="2" borderId="2" xfId="0" applyFont="1" applyFill="1" applyBorder="1" applyAlignment="1">
      <alignment horizontal="center"/>
    </xf>
    <xf numFmtId="169" fontId="0" fillId="0" borderId="0" xfId="2" applyNumberFormat="1" applyFont="1"/>
    <xf numFmtId="0" fontId="2" fillId="5" borderId="6" xfId="0" applyFont="1" applyFill="1" applyBorder="1" applyAlignment="1">
      <alignment horizontal="center"/>
    </xf>
    <xf numFmtId="170" fontId="2" fillId="5" borderId="9" xfId="2" applyNumberFormat="1" applyFont="1" applyFill="1" applyBorder="1" applyAlignment="1">
      <alignment horizontal="center"/>
    </xf>
    <xf numFmtId="0" fontId="2" fillId="5" borderId="2" xfId="0" applyFont="1" applyFill="1" applyBorder="1"/>
    <xf numFmtId="10" fontId="0" fillId="0" borderId="0" xfId="1" applyNumberFormat="1" applyFont="1"/>
    <xf numFmtId="166" fontId="2" fillId="0" borderId="0" xfId="0" applyNumberFormat="1" applyFont="1"/>
    <xf numFmtId="0" fontId="2" fillId="5" borderId="8" xfId="0" applyFont="1" applyFill="1" applyBorder="1" applyAlignment="1">
      <alignment horizontal="center"/>
    </xf>
    <xf numFmtId="168" fontId="12" fillId="0" borderId="0" xfId="2" applyNumberFormat="1" applyFont="1"/>
    <xf numFmtId="17" fontId="13" fillId="5" borderId="8" xfId="0" applyNumberFormat="1" applyFont="1" applyFill="1" applyBorder="1" applyProtection="1">
      <protection locked="0"/>
    </xf>
    <xf numFmtId="10" fontId="3" fillId="0" borderId="1" xfId="1" applyNumberFormat="1" applyFont="1" applyBorder="1" applyProtection="1">
      <protection locked="0"/>
    </xf>
    <xf numFmtId="166" fontId="13" fillId="3" borderId="10" xfId="1" applyNumberFormat="1" applyFont="1" applyFill="1" applyBorder="1" applyAlignment="1" applyProtection="1">
      <alignment horizontal="center"/>
      <protection locked="0"/>
    </xf>
    <xf numFmtId="10" fontId="2" fillId="0" borderId="0" xfId="1" applyNumberFormat="1" applyFont="1" applyFill="1" applyBorder="1"/>
    <xf numFmtId="167" fontId="5" fillId="0" borderId="11" xfId="0" applyNumberFormat="1" applyFont="1" applyBorder="1"/>
    <xf numFmtId="9" fontId="17" fillId="0" borderId="4" xfId="1" applyFont="1" applyFill="1" applyBorder="1" applyAlignment="1">
      <alignment horizontal="center"/>
    </xf>
    <xf numFmtId="9" fontId="17" fillId="0" borderId="2" xfId="1" applyFont="1" applyBorder="1" applyAlignment="1">
      <alignment horizontal="center"/>
    </xf>
    <xf numFmtId="14" fontId="3" fillId="0" borderId="0" xfId="2" applyNumberFormat="1" applyFont="1" applyFill="1" applyBorder="1" applyAlignment="1" applyProtection="1">
      <alignment horizontal="center"/>
      <protection locked="0"/>
    </xf>
    <xf numFmtId="0" fontId="18" fillId="0" borderId="1" xfId="0" applyFont="1" applyBorder="1" applyProtection="1">
      <protection locked="0"/>
    </xf>
    <xf numFmtId="0" fontId="2" fillId="3" borderId="3" xfId="0" applyFont="1" applyFill="1" applyBorder="1"/>
    <xf numFmtId="0" fontId="2" fillId="3" borderId="12" xfId="0" applyFont="1" applyFill="1" applyBorder="1"/>
    <xf numFmtId="0" fontId="2" fillId="3" borderId="11" xfId="0" applyFont="1" applyFill="1" applyBorder="1"/>
    <xf numFmtId="166" fontId="2" fillId="3" borderId="6" xfId="0" applyNumberFormat="1" applyFont="1" applyFill="1" applyBorder="1"/>
    <xf numFmtId="0" fontId="2" fillId="3" borderId="13" xfId="0" applyFont="1" applyFill="1" applyBorder="1"/>
    <xf numFmtId="0" fontId="2" fillId="3" borderId="9" xfId="0" applyFont="1" applyFill="1" applyBorder="1"/>
    <xf numFmtId="0" fontId="20" fillId="3" borderId="14" xfId="0" applyFont="1" applyFill="1" applyBorder="1"/>
    <xf numFmtId="0" fontId="20" fillId="3" borderId="0" xfId="0" applyFont="1" applyFill="1"/>
    <xf numFmtId="0" fontId="20" fillId="3" borderId="15" xfId="0" applyFont="1" applyFill="1" applyBorder="1"/>
    <xf numFmtId="0" fontId="2" fillId="0" borderId="1" xfId="0" applyFont="1" applyBorder="1" applyAlignment="1" applyProtection="1">
      <alignment horizontal="left"/>
      <protection locked="0"/>
    </xf>
    <xf numFmtId="167" fontId="2" fillId="6" borderId="1" xfId="0" applyNumberFormat="1" applyFont="1" applyFill="1" applyBorder="1" applyProtection="1">
      <protection locked="0"/>
    </xf>
    <xf numFmtId="10" fontId="0" fillId="0" borderId="1" xfId="1" applyNumberFormat="1" applyFont="1" applyBorder="1"/>
    <xf numFmtId="0" fontId="2" fillId="0" borderId="0" xfId="0" applyFont="1" applyAlignment="1">
      <alignment vertical="top" wrapText="1"/>
    </xf>
    <xf numFmtId="0" fontId="0" fillId="0" borderId="0" xfId="0" applyAlignment="1">
      <alignment vertical="top" wrapText="1"/>
    </xf>
    <xf numFmtId="0" fontId="0" fillId="0" borderId="16" xfId="0" applyBorder="1" applyAlignment="1">
      <alignment vertical="top" wrapText="1"/>
    </xf>
    <xf numFmtId="0" fontId="0" fillId="0" borderId="17" xfId="0" applyBorder="1" applyAlignment="1">
      <alignment vertical="top" wrapText="1"/>
    </xf>
    <xf numFmtId="0" fontId="2" fillId="0" borderId="0" xfId="0" applyFont="1" applyAlignment="1">
      <alignment horizontal="center" vertical="top" wrapText="1"/>
    </xf>
    <xf numFmtId="0" fontId="0" fillId="0" borderId="0" xfId="0" applyAlignment="1">
      <alignment horizontal="center" vertical="top" wrapText="1"/>
    </xf>
    <xf numFmtId="0" fontId="0" fillId="0" borderId="17" xfId="0" applyBorder="1" applyAlignment="1">
      <alignment horizontal="center" vertical="top" wrapText="1"/>
    </xf>
    <xf numFmtId="0" fontId="0" fillId="0" borderId="18" xfId="0" applyBorder="1" applyAlignment="1">
      <alignment horizontal="center" vertical="top" wrapText="1"/>
    </xf>
    <xf numFmtId="0" fontId="0" fillId="0" borderId="11" xfId="0" applyBorder="1"/>
    <xf numFmtId="0" fontId="0" fillId="2" borderId="3" xfId="0" applyFill="1" applyBorder="1"/>
    <xf numFmtId="0" fontId="0" fillId="2" borderId="12" xfId="0" applyFill="1" applyBorder="1"/>
    <xf numFmtId="0" fontId="2" fillId="2" borderId="14" xfId="0" applyFont="1" applyFill="1" applyBorder="1"/>
    <xf numFmtId="0" fontId="0" fillId="2" borderId="0" xfId="0" applyFill="1"/>
    <xf numFmtId="0" fontId="0" fillId="2" borderId="19" xfId="0" applyFill="1" applyBorder="1"/>
    <xf numFmtId="0" fontId="0" fillId="2" borderId="20" xfId="0" applyFill="1" applyBorder="1"/>
    <xf numFmtId="0" fontId="15" fillId="2" borderId="14" xfId="0" applyFont="1" applyFill="1" applyBorder="1"/>
    <xf numFmtId="167" fontId="0" fillId="2" borderId="12" xfId="0" applyNumberFormat="1" applyFill="1" applyBorder="1"/>
    <xf numFmtId="166" fontId="0" fillId="2" borderId="12" xfId="0" applyNumberFormat="1" applyFill="1" applyBorder="1"/>
    <xf numFmtId="0" fontId="0" fillId="2" borderId="11" xfId="0" applyFill="1" applyBorder="1"/>
    <xf numFmtId="166" fontId="2" fillId="2" borderId="8" xfId="0" applyNumberFormat="1" applyFont="1" applyFill="1" applyBorder="1"/>
    <xf numFmtId="0" fontId="0" fillId="2" borderId="15" xfId="0" applyFill="1" applyBorder="1"/>
    <xf numFmtId="0" fontId="0" fillId="2" borderId="21" xfId="0" applyFill="1" applyBorder="1"/>
    <xf numFmtId="0" fontId="2" fillId="2" borderId="3" xfId="0" applyFont="1" applyFill="1" applyBorder="1" applyAlignment="1">
      <alignment horizontal="right"/>
    </xf>
    <xf numFmtId="0" fontId="2" fillId="2" borderId="14" xfId="0" applyFont="1" applyFill="1" applyBorder="1" applyAlignment="1">
      <alignment horizontal="right"/>
    </xf>
    <xf numFmtId="167" fontId="0" fillId="2" borderId="0" xfId="0" applyNumberFormat="1" applyFill="1"/>
    <xf numFmtId="0" fontId="15" fillId="2" borderId="14" xfId="0" applyFont="1" applyFill="1" applyBorder="1" applyAlignment="1">
      <alignment horizontal="left"/>
    </xf>
    <xf numFmtId="0" fontId="16" fillId="2" borderId="11" xfId="0" applyFont="1" applyFill="1" applyBorder="1"/>
    <xf numFmtId="0" fontId="16" fillId="2" borderId="19" xfId="0" quotePrefix="1" applyFont="1" applyFill="1" applyBorder="1"/>
    <xf numFmtId="0" fontId="16" fillId="2" borderId="21" xfId="0" applyFont="1" applyFill="1" applyBorder="1"/>
    <xf numFmtId="0" fontId="0" fillId="2" borderId="14" xfId="0" applyFill="1" applyBorder="1"/>
    <xf numFmtId="166" fontId="2" fillId="2" borderId="6" xfId="0" applyNumberFormat="1" applyFont="1" applyFill="1" applyBorder="1"/>
    <xf numFmtId="166" fontId="2" fillId="4" borderId="8" xfId="0" applyNumberFormat="1" applyFont="1" applyFill="1" applyBorder="1"/>
    <xf numFmtId="0" fontId="20" fillId="3" borderId="19" xfId="0" applyFont="1" applyFill="1" applyBorder="1"/>
    <xf numFmtId="0" fontId="20" fillId="3" borderId="20" xfId="0" applyFont="1" applyFill="1" applyBorder="1"/>
    <xf numFmtId="0" fontId="20" fillId="3" borderId="21" xfId="0" applyFont="1" applyFill="1" applyBorder="1"/>
    <xf numFmtId="0" fontId="2" fillId="2" borderId="0" xfId="0" applyFont="1" applyFill="1"/>
    <xf numFmtId="0" fontId="2" fillId="2" borderId="12" xfId="0" applyFont="1" applyFill="1" applyBorder="1"/>
    <xf numFmtId="0" fontId="0" fillId="2" borderId="9" xfId="0" applyFill="1" applyBorder="1"/>
    <xf numFmtId="0" fontId="2" fillId="2" borderId="3" xfId="0" applyFont="1" applyFill="1" applyBorder="1"/>
    <xf numFmtId="0" fontId="2" fillId="2" borderId="19" xfId="0" applyFont="1" applyFill="1" applyBorder="1"/>
    <xf numFmtId="0" fontId="0" fillId="2" borderId="6" xfId="0" applyFill="1" applyBorder="1"/>
    <xf numFmtId="0" fontId="2" fillId="2" borderId="20" xfId="0" applyFont="1" applyFill="1" applyBorder="1"/>
    <xf numFmtId="0" fontId="10" fillId="2" borderId="19" xfId="0" applyFont="1" applyFill="1" applyBorder="1"/>
    <xf numFmtId="165" fontId="13" fillId="3" borderId="8" xfId="2" applyNumberFormat="1" applyFont="1" applyFill="1" applyBorder="1" applyProtection="1">
      <protection locked="0"/>
    </xf>
    <xf numFmtId="166" fontId="2" fillId="2" borderId="2" xfId="0" applyNumberFormat="1" applyFont="1" applyFill="1" applyBorder="1" applyAlignment="1">
      <alignment horizontal="center"/>
    </xf>
    <xf numFmtId="0" fontId="5" fillId="2" borderId="3" xfId="0" applyFont="1" applyFill="1" applyBorder="1"/>
    <xf numFmtId="0" fontId="0" fillId="2" borderId="3" xfId="0" quotePrefix="1" applyFill="1" applyBorder="1"/>
    <xf numFmtId="0" fontId="6" fillId="2" borderId="0" xfId="0" applyFont="1" applyFill="1" applyAlignment="1">
      <alignment horizontal="right"/>
    </xf>
    <xf numFmtId="0" fontId="14" fillId="2" borderId="14" xfId="0" applyFont="1" applyFill="1" applyBorder="1"/>
    <xf numFmtId="164" fontId="15" fillId="2" borderId="8" xfId="2" applyFont="1" applyFill="1" applyBorder="1" applyAlignment="1">
      <alignment horizontal="center"/>
    </xf>
    <xf numFmtId="10" fontId="2" fillId="2" borderId="8" xfId="1" applyNumberFormat="1" applyFont="1" applyFill="1" applyBorder="1"/>
    <xf numFmtId="10" fontId="16" fillId="2" borderId="8" xfId="1" applyNumberFormat="1" applyFont="1" applyFill="1" applyBorder="1"/>
    <xf numFmtId="0" fontId="15" fillId="2" borderId="2" xfId="0" applyFont="1" applyFill="1" applyBorder="1"/>
    <xf numFmtId="10" fontId="2" fillId="2" borderId="22" xfId="1" applyNumberFormat="1" applyFont="1" applyFill="1" applyBorder="1"/>
    <xf numFmtId="10" fontId="2" fillId="2" borderId="8" xfId="0" applyNumberFormat="1" applyFont="1" applyFill="1" applyBorder="1"/>
    <xf numFmtId="0" fontId="6" fillId="2" borderId="0" xfId="0" applyFont="1" applyFill="1"/>
    <xf numFmtId="10" fontId="13" fillId="2" borderId="6" xfId="1" applyNumberFormat="1" applyFont="1" applyFill="1" applyBorder="1" applyAlignment="1" applyProtection="1">
      <alignment horizontal="center"/>
      <protection locked="0"/>
    </xf>
    <xf numFmtId="0" fontId="2" fillId="2" borderId="8" xfId="0" applyFont="1" applyFill="1" applyBorder="1"/>
    <xf numFmtId="0" fontId="0" fillId="0" borderId="1" xfId="0" applyBorder="1" applyProtection="1">
      <protection locked="0"/>
    </xf>
    <xf numFmtId="10" fontId="0" fillId="0" borderId="1" xfId="1" applyNumberFormat="1" applyFont="1" applyBorder="1" applyProtection="1">
      <protection locked="0"/>
    </xf>
    <xf numFmtId="17" fontId="0" fillId="0" borderId="1" xfId="0" applyNumberFormat="1" applyBorder="1" applyProtection="1">
      <protection locked="0"/>
    </xf>
    <xf numFmtId="10" fontId="2" fillId="4" borderId="0" xfId="0" applyNumberFormat="1" applyFont="1" applyFill="1"/>
    <xf numFmtId="0" fontId="2" fillId="7" borderId="23" xfId="0" applyFont="1" applyFill="1" applyBorder="1" applyAlignment="1">
      <alignment horizontal="right"/>
    </xf>
    <xf numFmtId="10" fontId="2" fillId="7" borderId="24" xfId="0" applyNumberFormat="1" applyFont="1" applyFill="1" applyBorder="1"/>
    <xf numFmtId="0" fontId="2" fillId="7" borderId="25" xfId="0" applyFont="1" applyFill="1" applyBorder="1" applyAlignment="1">
      <alignment horizontal="right"/>
    </xf>
    <xf numFmtId="10" fontId="2" fillId="7" borderId="26" xfId="0" applyNumberFormat="1" applyFont="1" applyFill="1" applyBorder="1"/>
    <xf numFmtId="0" fontId="2" fillId="8" borderId="23" xfId="0" applyFont="1" applyFill="1" applyBorder="1" applyAlignment="1">
      <alignment horizontal="right"/>
    </xf>
    <xf numFmtId="10" fontId="2" fillId="8" borderId="24" xfId="0" applyNumberFormat="1" applyFont="1" applyFill="1" applyBorder="1"/>
    <xf numFmtId="0" fontId="2" fillId="8" borderId="27" xfId="0" applyFont="1" applyFill="1" applyBorder="1" applyAlignment="1">
      <alignment horizontal="right"/>
    </xf>
    <xf numFmtId="10" fontId="2" fillId="8" borderId="28" xfId="0" applyNumberFormat="1" applyFont="1" applyFill="1" applyBorder="1"/>
    <xf numFmtId="10" fontId="2" fillId="2" borderId="9" xfId="0" applyNumberFormat="1" applyFont="1" applyFill="1" applyBorder="1"/>
    <xf numFmtId="10" fontId="2" fillId="4" borderId="9" xfId="0" applyNumberFormat="1" applyFont="1" applyFill="1" applyBorder="1"/>
    <xf numFmtId="0" fontId="14" fillId="0" borderId="6" xfId="0" applyFont="1" applyBorder="1" applyAlignment="1">
      <alignment horizontal="right"/>
    </xf>
    <xf numFmtId="0" fontId="14" fillId="0" borderId="0" xfId="0" applyFont="1" applyAlignment="1">
      <alignment horizontal="right"/>
    </xf>
    <xf numFmtId="0" fontId="10" fillId="0" borderId="0" xfId="0" applyFont="1"/>
    <xf numFmtId="0" fontId="2" fillId="2" borderId="23" xfId="0" applyFont="1" applyFill="1" applyBorder="1" applyAlignment="1">
      <alignment horizontal="right"/>
    </xf>
    <xf numFmtId="10" fontId="2" fillId="2" borderId="24" xfId="0" applyNumberFormat="1" applyFont="1" applyFill="1" applyBorder="1"/>
    <xf numFmtId="0" fontId="2" fillId="2" borderId="25" xfId="0" applyFont="1" applyFill="1" applyBorder="1" applyAlignment="1">
      <alignment horizontal="right"/>
    </xf>
    <xf numFmtId="10" fontId="2" fillId="2" borderId="26" xfId="0" applyNumberFormat="1" applyFont="1" applyFill="1" applyBorder="1"/>
    <xf numFmtId="0" fontId="23" fillId="0" borderId="0" xfId="0" applyFont="1"/>
    <xf numFmtId="0" fontId="24" fillId="0" borderId="0" xfId="0" applyFont="1"/>
    <xf numFmtId="0" fontId="23" fillId="0" borderId="1" xfId="0" applyFont="1" applyBorder="1"/>
    <xf numFmtId="10" fontId="2" fillId="3" borderId="8" xfId="0" applyNumberFormat="1" applyFont="1" applyFill="1" applyBorder="1"/>
    <xf numFmtId="166" fontId="2" fillId="3" borderId="8" xfId="1" applyNumberFormat="1" applyFont="1" applyFill="1" applyBorder="1"/>
    <xf numFmtId="166" fontId="6" fillId="0" borderId="11" xfId="1" applyNumberFormat="1" applyFont="1" applyBorder="1"/>
    <xf numFmtId="0" fontId="16" fillId="0" borderId="2" xfId="0" applyFont="1" applyBorder="1"/>
    <xf numFmtId="165" fontId="5" fillId="0" borderId="2" xfId="2" applyNumberFormat="1" applyFont="1" applyBorder="1"/>
    <xf numFmtId="165" fontId="5" fillId="0" borderId="3" xfId="2" applyNumberFormat="1" applyFont="1" applyBorder="1"/>
    <xf numFmtId="9" fontId="5" fillId="0" borderId="2" xfId="1" applyFont="1" applyBorder="1" applyAlignment="1">
      <alignment horizontal="center"/>
    </xf>
    <xf numFmtId="0" fontId="8" fillId="2" borderId="14" xfId="0" applyFont="1" applyFill="1" applyBorder="1" applyAlignment="1">
      <alignment horizontal="center"/>
    </xf>
    <xf numFmtId="0" fontId="8" fillId="2" borderId="4" xfId="0" applyFont="1" applyFill="1" applyBorder="1" applyAlignment="1">
      <alignment horizontal="center"/>
    </xf>
    <xf numFmtId="0" fontId="12" fillId="2" borderId="4" xfId="0" applyFont="1" applyFill="1" applyBorder="1" applyAlignment="1">
      <alignment horizontal="center"/>
    </xf>
    <xf numFmtId="0" fontId="8" fillId="2" borderId="4" xfId="0" applyFont="1" applyFill="1" applyBorder="1"/>
    <xf numFmtId="0" fontId="5" fillId="5" borderId="4" xfId="0" applyFont="1" applyFill="1" applyBorder="1"/>
    <xf numFmtId="0" fontId="2" fillId="0" borderId="0" xfId="0" applyFont="1" applyAlignment="1">
      <alignment horizontal="left"/>
    </xf>
    <xf numFmtId="0" fontId="27" fillId="9" borderId="0" xfId="0" applyFont="1" applyFill="1"/>
    <xf numFmtId="0" fontId="27" fillId="9" borderId="2" xfId="0" applyFont="1" applyFill="1" applyBorder="1"/>
    <xf numFmtId="0" fontId="27" fillId="9" borderId="4" xfId="0" applyFont="1" applyFill="1" applyBorder="1"/>
    <xf numFmtId="0" fontId="27" fillId="9" borderId="22" xfId="0" applyFont="1" applyFill="1" applyBorder="1"/>
    <xf numFmtId="0" fontId="27" fillId="10" borderId="2" xfId="0" applyFont="1" applyFill="1" applyBorder="1"/>
    <xf numFmtId="0" fontId="27" fillId="10" borderId="4" xfId="0" applyFont="1" applyFill="1" applyBorder="1"/>
    <xf numFmtId="0" fontId="27" fillId="10" borderId="22" xfId="0" applyFont="1" applyFill="1" applyBorder="1"/>
    <xf numFmtId="0" fontId="29" fillId="9" borderId="0" xfId="0" applyFont="1" applyFill="1"/>
    <xf numFmtId="0" fontId="28" fillId="10" borderId="8" xfId="0" applyFont="1" applyFill="1" applyBorder="1"/>
    <xf numFmtId="14" fontId="3" fillId="11" borderId="8" xfId="2" applyNumberFormat="1" applyFont="1" applyFill="1" applyBorder="1" applyAlignment="1" applyProtection="1">
      <alignment horizontal="center"/>
      <protection locked="0"/>
    </xf>
    <xf numFmtId="164" fontId="7" fillId="0" borderId="1" xfId="2" applyFont="1" applyBorder="1" applyProtection="1"/>
    <xf numFmtId="164" fontId="3" fillId="0" borderId="1" xfId="2" applyFont="1" applyBorder="1" applyProtection="1">
      <protection locked="0"/>
    </xf>
    <xf numFmtId="164" fontId="2" fillId="0" borderId="1" xfId="2" applyFont="1" applyBorder="1"/>
    <xf numFmtId="164" fontId="0" fillId="0" borderId="1" xfId="2" applyFont="1" applyBorder="1"/>
    <xf numFmtId="166" fontId="8" fillId="0" borderId="1" xfId="1" applyNumberFormat="1" applyFont="1" applyBorder="1"/>
    <xf numFmtId="164" fontId="31" fillId="2" borderId="9" xfId="2" applyFont="1" applyFill="1" applyBorder="1"/>
    <xf numFmtId="164" fontId="9" fillId="2" borderId="4" xfId="0" applyNumberFormat="1" applyFont="1" applyFill="1" applyBorder="1" applyAlignment="1">
      <alignment horizontal="center"/>
    </xf>
    <xf numFmtId="0" fontId="0" fillId="11" borderId="29" xfId="0" applyFill="1" applyBorder="1"/>
    <xf numFmtId="0" fontId="0" fillId="11" borderId="27" xfId="0" applyFill="1" applyBorder="1"/>
    <xf numFmtId="10" fontId="2" fillId="5" borderId="8" xfId="1" applyNumberFormat="1" applyFont="1" applyFill="1" applyBorder="1"/>
    <xf numFmtId="166" fontId="8" fillId="0" borderId="30" xfId="1" applyNumberFormat="1" applyFont="1" applyBorder="1"/>
    <xf numFmtId="169" fontId="5" fillId="5" borderId="8" xfId="2" applyNumberFormat="1" applyFont="1" applyFill="1" applyBorder="1"/>
    <xf numFmtId="0" fontId="11" fillId="11" borderId="23" xfId="0" applyFont="1" applyFill="1" applyBorder="1"/>
    <xf numFmtId="0" fontId="8" fillId="11" borderId="24" xfId="0" applyFont="1" applyFill="1" applyBorder="1"/>
    <xf numFmtId="0" fontId="8" fillId="11" borderId="31" xfId="0" applyFont="1" applyFill="1" applyBorder="1"/>
    <xf numFmtId="0" fontId="8" fillId="11" borderId="28" xfId="0" applyFont="1" applyFill="1" applyBorder="1"/>
    <xf numFmtId="164" fontId="2" fillId="0" borderId="3" xfId="2" applyFont="1" applyBorder="1"/>
    <xf numFmtId="164" fontId="19" fillId="0" borderId="0" xfId="2" applyFont="1" applyAlignment="1">
      <alignment horizontal="right"/>
    </xf>
    <xf numFmtId="164" fontId="3" fillId="0" borderId="5" xfId="2" applyFont="1" applyBorder="1" applyProtection="1">
      <protection locked="0"/>
    </xf>
    <xf numFmtId="164" fontId="2" fillId="3" borderId="8" xfId="2" applyFont="1" applyFill="1" applyBorder="1"/>
    <xf numFmtId="164" fontId="2" fillId="2" borderId="8" xfId="2" applyFont="1" applyFill="1" applyBorder="1" applyProtection="1"/>
    <xf numFmtId="164" fontId="2" fillId="2" borderId="6" xfId="2" applyFont="1" applyFill="1" applyBorder="1"/>
    <xf numFmtId="164" fontId="2" fillId="2" borderId="13" xfId="2" applyFont="1" applyFill="1" applyBorder="1"/>
    <xf numFmtId="164" fontId="2" fillId="2" borderId="8" xfId="2" applyFont="1" applyFill="1" applyBorder="1"/>
    <xf numFmtId="164" fontId="2" fillId="2" borderId="8" xfId="2" applyFont="1" applyFill="1" applyBorder="1" applyProtection="1">
      <protection locked="0"/>
    </xf>
    <xf numFmtId="164" fontId="5" fillId="4" borderId="8" xfId="2" applyFont="1" applyFill="1" applyBorder="1"/>
    <xf numFmtId="164" fontId="5" fillId="2" borderId="8" xfId="2" applyFont="1" applyFill="1" applyBorder="1"/>
    <xf numFmtId="164" fontId="5" fillId="7" borderId="8" xfId="2" applyFont="1" applyFill="1" applyBorder="1"/>
    <xf numFmtId="164" fontId="5" fillId="8" borderId="8" xfId="2" applyFont="1" applyFill="1" applyBorder="1"/>
    <xf numFmtId="164" fontId="2" fillId="2" borderId="22" xfId="2" applyFont="1" applyFill="1" applyBorder="1"/>
    <xf numFmtId="164" fontId="32" fillId="3" borderId="1" xfId="2" applyFont="1" applyFill="1" applyBorder="1" applyProtection="1">
      <protection locked="0"/>
    </xf>
    <xf numFmtId="164" fontId="0" fillId="4" borderId="1" xfId="2" applyFont="1" applyFill="1" applyBorder="1"/>
    <xf numFmtId="0" fontId="33" fillId="2" borderId="6" xfId="0" applyFont="1" applyFill="1" applyBorder="1"/>
    <xf numFmtId="0" fontId="0" fillId="2" borderId="13" xfId="0" applyFill="1" applyBorder="1"/>
    <xf numFmtId="0" fontId="2" fillId="10" borderId="2" xfId="0" applyFont="1" applyFill="1" applyBorder="1"/>
    <xf numFmtId="0" fontId="2" fillId="10" borderId="4" xfId="0" applyFont="1" applyFill="1" applyBorder="1"/>
    <xf numFmtId="0" fontId="2" fillId="10" borderId="22" xfId="0" applyFont="1" applyFill="1" applyBorder="1"/>
    <xf numFmtId="164" fontId="16" fillId="2" borderId="8" xfId="2" applyFont="1" applyFill="1" applyBorder="1"/>
    <xf numFmtId="164" fontId="13" fillId="3" borderId="8" xfId="2" applyFont="1" applyFill="1" applyBorder="1" applyProtection="1">
      <protection locked="0"/>
    </xf>
    <xf numFmtId="0" fontId="7" fillId="2" borderId="6" xfId="0" applyFont="1" applyFill="1" applyBorder="1"/>
    <xf numFmtId="165" fontId="34" fillId="11" borderId="8" xfId="2" applyNumberFormat="1" applyFont="1" applyFill="1" applyBorder="1" applyProtection="1">
      <protection locked="0"/>
    </xf>
    <xf numFmtId="1" fontId="3" fillId="0" borderId="1" xfId="0" applyNumberFormat="1" applyFont="1" applyBorder="1" applyAlignment="1" applyProtection="1">
      <alignment horizontal="center"/>
      <protection locked="0"/>
    </xf>
    <xf numFmtId="167" fontId="0" fillId="11" borderId="6" xfId="0" applyNumberFormat="1" applyFill="1" applyBorder="1"/>
    <xf numFmtId="171" fontId="2" fillId="11" borderId="9" xfId="0" applyNumberFormat="1" applyFont="1" applyFill="1" applyBorder="1"/>
    <xf numFmtId="0" fontId="27" fillId="10" borderId="12" xfId="0" applyFont="1" applyFill="1" applyBorder="1"/>
    <xf numFmtId="0" fontId="27" fillId="10" borderId="11" xfId="0" applyFont="1" applyFill="1" applyBorder="1"/>
    <xf numFmtId="0" fontId="27" fillId="10" borderId="0" xfId="0" applyFont="1" applyFill="1"/>
    <xf numFmtId="0" fontId="27" fillId="10" borderId="15" xfId="0" applyFont="1" applyFill="1" applyBorder="1"/>
    <xf numFmtId="0" fontId="27" fillId="10" borderId="20" xfId="0" applyFont="1" applyFill="1" applyBorder="1"/>
    <xf numFmtId="0" fontId="27" fillId="10" borderId="21" xfId="0" applyFont="1" applyFill="1" applyBorder="1"/>
    <xf numFmtId="0" fontId="27" fillId="12" borderId="2" xfId="0" applyFont="1" applyFill="1" applyBorder="1"/>
    <xf numFmtId="0" fontId="27" fillId="12" borderId="4" xfId="0" applyFont="1" applyFill="1" applyBorder="1"/>
    <xf numFmtId="0" fontId="27" fillId="12" borderId="22" xfId="0" applyFont="1" applyFill="1" applyBorder="1"/>
    <xf numFmtId="0" fontId="31" fillId="4" borderId="1" xfId="0" applyFont="1" applyFill="1" applyBorder="1"/>
    <xf numFmtId="0" fontId="35" fillId="9" borderId="0" xfId="0" applyFont="1" applyFill="1"/>
    <xf numFmtId="0" fontId="36" fillId="9" borderId="0" xfId="0" applyFont="1" applyFill="1"/>
    <xf numFmtId="0" fontId="38" fillId="11" borderId="1" xfId="0" applyFont="1" applyFill="1" applyBorder="1"/>
    <xf numFmtId="0" fontId="39" fillId="11" borderId="1" xfId="0" applyFont="1" applyFill="1" applyBorder="1"/>
    <xf numFmtId="0" fontId="38" fillId="11" borderId="30" xfId="0" applyFont="1" applyFill="1" applyBorder="1"/>
    <xf numFmtId="0" fontId="38" fillId="10" borderId="0" xfId="0" applyFont="1" applyFill="1"/>
    <xf numFmtId="0" fontId="38" fillId="11" borderId="32" xfId="0" applyFont="1" applyFill="1" applyBorder="1"/>
    <xf numFmtId="0" fontId="38" fillId="10" borderId="3" xfId="0" applyFont="1" applyFill="1" applyBorder="1"/>
    <xf numFmtId="0" fontId="38" fillId="10" borderId="12" xfId="0" applyFont="1" applyFill="1" applyBorder="1"/>
    <xf numFmtId="0" fontId="38" fillId="10" borderId="11" xfId="0" applyFont="1" applyFill="1" applyBorder="1"/>
    <xf numFmtId="0" fontId="38" fillId="10" borderId="14" xfId="0" applyFont="1" applyFill="1" applyBorder="1"/>
    <xf numFmtId="0" fontId="38" fillId="10" borderId="15" xfId="0" applyFont="1" applyFill="1" applyBorder="1"/>
    <xf numFmtId="171" fontId="40" fillId="13" borderId="8" xfId="0" applyNumberFormat="1" applyFont="1" applyFill="1" applyBorder="1"/>
    <xf numFmtId="1" fontId="40" fillId="13" borderId="8" xfId="0" applyNumberFormat="1" applyFont="1" applyFill="1" applyBorder="1"/>
    <xf numFmtId="0" fontId="39" fillId="13" borderId="15" xfId="0" applyFont="1" applyFill="1" applyBorder="1" applyAlignment="1">
      <alignment horizontal="center"/>
    </xf>
    <xf numFmtId="171" fontId="39" fillId="13" borderId="8" xfId="0" applyNumberFormat="1" applyFont="1" applyFill="1" applyBorder="1"/>
    <xf numFmtId="0" fontId="38" fillId="11" borderId="35" xfId="0" applyFont="1" applyFill="1" applyBorder="1"/>
    <xf numFmtId="0" fontId="38" fillId="13" borderId="33" xfId="0" applyFont="1" applyFill="1" applyBorder="1"/>
    <xf numFmtId="0" fontId="38" fillId="13" borderId="2" xfId="0" applyFont="1" applyFill="1" applyBorder="1"/>
    <xf numFmtId="0" fontId="38" fillId="13" borderId="22" xfId="0" applyFont="1" applyFill="1" applyBorder="1"/>
    <xf numFmtId="0" fontId="38" fillId="10" borderId="6" xfId="0" applyFont="1" applyFill="1" applyBorder="1"/>
    <xf numFmtId="0" fontId="39" fillId="10" borderId="9" xfId="0" applyFont="1" applyFill="1" applyBorder="1" applyAlignment="1">
      <alignment horizontal="right"/>
    </xf>
    <xf numFmtId="0" fontId="38" fillId="13" borderId="36" xfId="0" applyFont="1" applyFill="1" applyBorder="1"/>
    <xf numFmtId="0" fontId="38" fillId="13" borderId="37" xfId="0" applyFont="1" applyFill="1" applyBorder="1"/>
    <xf numFmtId="0" fontId="8" fillId="4" borderId="1" xfId="0" applyFont="1" applyFill="1" applyBorder="1" applyAlignment="1">
      <alignment horizontal="right"/>
    </xf>
    <xf numFmtId="0" fontId="0" fillId="0" borderId="20" xfId="0" applyBorder="1"/>
    <xf numFmtId="0" fontId="14" fillId="0" borderId="34" xfId="0" applyFont="1" applyBorder="1" applyAlignment="1">
      <alignment horizontal="center"/>
    </xf>
    <xf numFmtId="0" fontId="14" fillId="0" borderId="34" xfId="0" applyFont="1" applyBorder="1" applyAlignment="1">
      <alignment horizontal="centerContinuous"/>
    </xf>
    <xf numFmtId="0" fontId="43" fillId="14" borderId="34" xfId="0" applyFont="1" applyFill="1" applyBorder="1" applyAlignment="1">
      <alignment horizontal="center"/>
    </xf>
    <xf numFmtId="0" fontId="44" fillId="14" borderId="0" xfId="0" applyFont="1" applyFill="1"/>
    <xf numFmtId="0" fontId="44" fillId="14" borderId="20" xfId="0" applyFont="1" applyFill="1" applyBorder="1"/>
    <xf numFmtId="1" fontId="38" fillId="11" borderId="30" xfId="0" applyNumberFormat="1" applyFont="1" applyFill="1" applyBorder="1"/>
    <xf numFmtId="0" fontId="1" fillId="2" borderId="0" xfId="0" applyFont="1" applyFill="1"/>
    <xf numFmtId="0" fontId="1" fillId="0" borderId="0" xfId="0" applyFont="1"/>
    <xf numFmtId="171" fontId="39" fillId="9" borderId="8" xfId="1" applyNumberFormat="1" applyFont="1" applyFill="1" applyBorder="1"/>
    <xf numFmtId="171" fontId="0" fillId="0" borderId="0" xfId="0" applyNumberFormat="1"/>
    <xf numFmtId="166" fontId="0" fillId="0" borderId="10" xfId="1" applyNumberFormat="1" applyFont="1" applyBorder="1"/>
    <xf numFmtId="0" fontId="1" fillId="14" borderId="1" xfId="0" applyFont="1" applyFill="1" applyBorder="1" applyProtection="1">
      <protection locked="0"/>
    </xf>
    <xf numFmtId="0" fontId="0" fillId="14" borderId="1" xfId="0" applyFill="1" applyBorder="1" applyProtection="1">
      <protection locked="0"/>
    </xf>
    <xf numFmtId="0" fontId="3" fillId="14" borderId="1" xfId="0" applyFont="1" applyFill="1" applyBorder="1" applyProtection="1">
      <protection locked="0"/>
    </xf>
    <xf numFmtId="164" fontId="2" fillId="2" borderId="11" xfId="2" applyFont="1" applyFill="1" applyBorder="1"/>
    <xf numFmtId="0" fontId="6" fillId="4" borderId="30" xfId="0" applyFont="1" applyFill="1" applyBorder="1"/>
    <xf numFmtId="0" fontId="1" fillId="15" borderId="2" xfId="0" applyFont="1" applyFill="1" applyBorder="1"/>
    <xf numFmtId="0" fontId="1" fillId="15" borderId="22" xfId="0" applyFont="1" applyFill="1" applyBorder="1"/>
  </cellXfs>
  <cellStyles count="3">
    <cellStyle name="Comma" xfId="2" builtinId="3"/>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2</xdr:row>
          <xdr:rowOff>19050</xdr:rowOff>
        </xdr:from>
        <xdr:to>
          <xdr:col>1</xdr:col>
          <xdr:colOff>2124075</xdr:colOff>
          <xdr:row>4</xdr:row>
          <xdr:rowOff>371475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LIMPAR DADOS DIGITADOS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xdr:row>
          <xdr:rowOff>19050</xdr:rowOff>
        </xdr:from>
        <xdr:to>
          <xdr:col>4</xdr:col>
          <xdr:colOff>9525</xdr:colOff>
          <xdr:row>4</xdr:row>
          <xdr:rowOff>381000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IR PARA A LISTA DE PREÇOS E PREVISÃO DE RECEITAS DO MÊS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28575</xdr:rowOff>
        </xdr:from>
        <xdr:to>
          <xdr:col>5</xdr:col>
          <xdr:colOff>2219325</xdr:colOff>
          <xdr:row>4</xdr:row>
          <xdr:rowOff>381000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000-000003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IR PARA DRE para verificar VENDAS, CUSTOS E LUCROS DO MÊS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7</xdr:row>
          <xdr:rowOff>19050</xdr:rowOff>
        </xdr:from>
        <xdr:to>
          <xdr:col>1</xdr:col>
          <xdr:colOff>2143125</xdr:colOff>
          <xdr:row>10</xdr:row>
          <xdr:rowOff>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0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IR PARA BREAK EVEN POINTS PARA VERIFICAR PONTOS DE EQUILÍBRIO CONTÁBIL, ECONÔMICO E FINANCEIRO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7</xdr:row>
          <xdr:rowOff>19050</xdr:rowOff>
        </xdr:from>
        <xdr:to>
          <xdr:col>3</xdr:col>
          <xdr:colOff>2009775</xdr:colOff>
          <xdr:row>9</xdr:row>
          <xdr:rowOff>371475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000-000005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IR PARA CURVA ABC NESTA CURVA SÃO REALÇADOS OS PRODUTOS/SERVIÇOS QUE MAIS CONTRIBUEM PARA COBRIR OS CUSTOS FIXOS DO MÊS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7</xdr:row>
          <xdr:rowOff>66675</xdr:rowOff>
        </xdr:from>
        <xdr:to>
          <xdr:col>5</xdr:col>
          <xdr:colOff>2219325</xdr:colOff>
          <xdr:row>10</xdr:row>
          <xdr:rowOff>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000-00001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IR PARA DEMANDA REGRESSÃO LINEAR</a:t>
              </a:r>
            </a:p>
            <a:p>
              <a:pPr algn="ctr" rtl="0">
                <a:defRPr sz="1000"/>
              </a:pPr>
              <a:r>
                <a:rPr lang="en-GB" sz="1600" b="1" i="0" u="none" strike="noStrike" baseline="0">
                  <a:solidFill>
                    <a:srgbClr val="000000"/>
                  </a:solidFill>
                  <a:latin typeface="Arial"/>
                  <a:cs typeface="Arial"/>
                </a:rPr>
                <a:t>SOLVER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xdr:row>
          <xdr:rowOff>47625</xdr:rowOff>
        </xdr:from>
        <xdr:to>
          <xdr:col>4</xdr:col>
          <xdr:colOff>28575</xdr:colOff>
          <xdr:row>4</xdr:row>
          <xdr:rowOff>381000</xdr:rowOff>
        </xdr:to>
        <xdr:sp macro="" textlink="">
          <xdr:nvSpPr>
            <xdr:cNvPr id="8213" name="Button 21"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IR PARA A LISTA DE PREÇOS E PREVISÃO DE RECEITAS DO MÊS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66675</xdr:colOff>
          <xdr:row>0</xdr:row>
          <xdr:rowOff>28575</xdr:rowOff>
        </xdr:from>
        <xdr:to>
          <xdr:col>5</xdr:col>
          <xdr:colOff>3095625</xdr:colOff>
          <xdr:row>4</xdr:row>
          <xdr:rowOff>19050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1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RETORNAR DA DEMANDA </a:t>
              </a:r>
            </a:p>
            <a:p>
              <a:pPr algn="ctr" rtl="0">
                <a:defRPr sz="1000"/>
              </a:pPr>
              <a:r>
                <a:rPr lang="en-GB" sz="1000" b="1" i="0" u="none" strike="noStrike" baseline="0">
                  <a:solidFill>
                    <a:srgbClr val="000000"/>
                  </a:solidFill>
                  <a:latin typeface="Arial"/>
                  <a:cs typeface="Arial"/>
                </a:rPr>
                <a:t>PARA PÁGINA INICIAL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771525</xdr:colOff>
          <xdr:row>0</xdr:row>
          <xdr:rowOff>0</xdr:rowOff>
        </xdr:from>
        <xdr:to>
          <xdr:col>5</xdr:col>
          <xdr:colOff>190500</xdr:colOff>
          <xdr:row>2</xdr:row>
          <xdr:rowOff>142875</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RETORNA PARA PÁGINA INICIAL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314325</xdr:colOff>
          <xdr:row>2</xdr:row>
          <xdr:rowOff>123825</xdr:rowOff>
        </xdr:from>
        <xdr:to>
          <xdr:col>7</xdr:col>
          <xdr:colOff>28575</xdr:colOff>
          <xdr:row>6</xdr:row>
          <xdr:rowOff>38100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RETORNA PARA PÁGINA INICIAL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1038225</xdr:colOff>
          <xdr:row>17</xdr:row>
          <xdr:rowOff>123825</xdr:rowOff>
        </xdr:from>
        <xdr:to>
          <xdr:col>5</xdr:col>
          <xdr:colOff>781050</xdr:colOff>
          <xdr:row>21</xdr:row>
          <xdr:rowOff>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RETORNA PARA PÁGINA INICIAL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161925</xdr:colOff>
          <xdr:row>0</xdr:row>
          <xdr:rowOff>85725</xdr:rowOff>
        </xdr:from>
        <xdr:to>
          <xdr:col>17</xdr:col>
          <xdr:colOff>47625</xdr:colOff>
          <xdr:row>6</xdr:row>
          <xdr:rowOff>19050</xdr:rowOff>
        </xdr:to>
        <xdr:sp macro="" textlink="">
          <xdr:nvSpPr>
            <xdr:cNvPr id="32776" name="Button 8" hidden="1">
              <a:extLst>
                <a:ext uri="{63B3BB69-23CF-44E3-9099-C40C66FF867C}">
                  <a14:compatExt spid="_x0000_s32776"/>
                </a:ext>
                <a:ext uri="{FF2B5EF4-FFF2-40B4-BE49-F238E27FC236}">
                  <a16:creationId xmlns:a16="http://schemas.microsoft.com/office/drawing/2014/main" id="{00000000-0008-0000-0500-000008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RETORNA PARA PÁGINA INICIAL</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1.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omments" Target="../comments2.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K10"/>
  <sheetViews>
    <sheetView zoomScaleNormal="100" workbookViewId="0">
      <selection activeCell="B2" sqref="B2"/>
    </sheetView>
  </sheetViews>
  <sheetFormatPr defaultRowHeight="30" x14ac:dyDescent="0.4"/>
  <cols>
    <col min="1" max="1" width="9.140625" style="157"/>
    <col min="2" max="2" width="32.42578125" style="157" customWidth="1"/>
    <col min="3" max="3" width="8.5703125" style="157" customWidth="1"/>
    <col min="4" max="4" width="30" style="157" customWidth="1"/>
    <col min="5" max="5" width="8.28515625" style="157" customWidth="1"/>
    <col min="6" max="6" width="33.7109375" style="157" customWidth="1"/>
    <col min="7" max="16384" width="9.140625" style="157"/>
  </cols>
  <sheetData>
    <row r="1" spans="1:11" x14ac:dyDescent="0.4">
      <c r="A1" s="157" t="s">
        <v>129</v>
      </c>
      <c r="G1" s="221" t="s">
        <v>156</v>
      </c>
    </row>
    <row r="2" spans="1:11" ht="30.75" thickBot="1" x14ac:dyDescent="0.45">
      <c r="A2" s="222" t="s">
        <v>155</v>
      </c>
    </row>
    <row r="3" spans="1:11" x14ac:dyDescent="0.4">
      <c r="B3" s="161" t="s">
        <v>104</v>
      </c>
      <c r="D3" s="158"/>
      <c r="F3" s="158"/>
      <c r="H3" s="201" t="s">
        <v>125</v>
      </c>
      <c r="I3" s="211"/>
      <c r="J3" s="211"/>
      <c r="K3" s="212"/>
    </row>
    <row r="4" spans="1:11" x14ac:dyDescent="0.4">
      <c r="B4" s="162" t="s">
        <v>105</v>
      </c>
      <c r="D4" s="159"/>
      <c r="F4" s="159"/>
      <c r="H4" s="202" t="s">
        <v>126</v>
      </c>
      <c r="I4" s="213"/>
      <c r="J4" s="213"/>
      <c r="K4" s="214"/>
    </row>
    <row r="5" spans="1:11" ht="30.75" thickBot="1" x14ac:dyDescent="0.45">
      <c r="B5" s="163"/>
      <c r="D5" s="160"/>
      <c r="F5" s="160"/>
      <c r="H5" s="203" t="s">
        <v>127</v>
      </c>
      <c r="I5" s="215"/>
      <c r="J5" s="215"/>
      <c r="K5" s="216"/>
    </row>
    <row r="6" spans="1:11" s="164" customFormat="1" ht="15.75" thickBot="1" x14ac:dyDescent="0.25">
      <c r="B6" s="165" t="s">
        <v>106</v>
      </c>
    </row>
    <row r="7" spans="1:11" ht="30.75" thickBot="1" x14ac:dyDescent="0.45"/>
    <row r="8" spans="1:11" x14ac:dyDescent="0.4">
      <c r="B8" s="158"/>
      <c r="D8" s="158"/>
      <c r="F8" s="217"/>
    </row>
    <row r="9" spans="1:11" x14ac:dyDescent="0.4">
      <c r="B9" s="159"/>
      <c r="D9" s="159"/>
      <c r="F9" s="218"/>
    </row>
    <row r="10" spans="1:11" ht="30.75" thickBot="1" x14ac:dyDescent="0.45">
      <c r="B10" s="160"/>
      <c r="D10" s="160"/>
      <c r="F10" s="219"/>
    </row>
  </sheetData>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LIMPARDADOSDIGITADOS23">
                <anchor moveWithCells="1" sizeWithCells="1">
                  <from>
                    <xdr:col>1</xdr:col>
                    <xdr:colOff>19050</xdr:colOff>
                    <xdr:row>2</xdr:row>
                    <xdr:rowOff>19050</xdr:rowOff>
                  </from>
                  <to>
                    <xdr:col>1</xdr:col>
                    <xdr:colOff>2124075</xdr:colOff>
                    <xdr:row>4</xdr:row>
                    <xdr:rowOff>371475</xdr:rowOff>
                  </to>
                </anchor>
              </controlPr>
            </control>
          </mc:Choice>
        </mc:AlternateContent>
        <mc:AlternateContent xmlns:mc="http://schemas.openxmlformats.org/markup-compatibility/2006">
          <mc:Choice Requires="x14">
            <control shapeId="8194" r:id="rId4" name="Button 2">
              <controlPr defaultSize="0" print="0" autoFill="0" autoPict="0">
                <anchor moveWithCells="1" sizeWithCells="1">
                  <from>
                    <xdr:col>3</xdr:col>
                    <xdr:colOff>28575</xdr:colOff>
                    <xdr:row>2</xdr:row>
                    <xdr:rowOff>19050</xdr:rowOff>
                  </from>
                  <to>
                    <xdr:col>4</xdr:col>
                    <xdr:colOff>9525</xdr:colOff>
                    <xdr:row>4</xdr:row>
                    <xdr:rowOff>381000</xdr:rowOff>
                  </to>
                </anchor>
              </controlPr>
            </control>
          </mc:Choice>
        </mc:AlternateContent>
        <mc:AlternateContent xmlns:mc="http://schemas.openxmlformats.org/markup-compatibility/2006">
          <mc:Choice Requires="x14">
            <control shapeId="8195" r:id="rId5" name="Button 3">
              <controlPr defaultSize="0" print="0" autoFill="0" autoPict="0" macro="[0]!IRPARADRE">
                <anchor moveWithCells="1" sizeWithCells="1">
                  <from>
                    <xdr:col>5</xdr:col>
                    <xdr:colOff>19050</xdr:colOff>
                    <xdr:row>2</xdr:row>
                    <xdr:rowOff>28575</xdr:rowOff>
                  </from>
                  <to>
                    <xdr:col>5</xdr:col>
                    <xdr:colOff>2219325</xdr:colOff>
                    <xdr:row>4</xdr:row>
                    <xdr:rowOff>381000</xdr:rowOff>
                  </to>
                </anchor>
              </controlPr>
            </control>
          </mc:Choice>
        </mc:AlternateContent>
        <mc:AlternateContent xmlns:mc="http://schemas.openxmlformats.org/markup-compatibility/2006">
          <mc:Choice Requires="x14">
            <control shapeId="8196" r:id="rId6" name="Button 4">
              <controlPr defaultSize="0" print="0" autoFill="0" autoPict="0" macro="[0]!IRPARABREAKEVENPOINT">
                <anchor moveWithCells="1" sizeWithCells="1">
                  <from>
                    <xdr:col>1</xdr:col>
                    <xdr:colOff>9525</xdr:colOff>
                    <xdr:row>7</xdr:row>
                    <xdr:rowOff>19050</xdr:rowOff>
                  </from>
                  <to>
                    <xdr:col>1</xdr:col>
                    <xdr:colOff>2143125</xdr:colOff>
                    <xdr:row>10</xdr:row>
                    <xdr:rowOff>0</xdr:rowOff>
                  </to>
                </anchor>
              </controlPr>
            </control>
          </mc:Choice>
        </mc:AlternateContent>
        <mc:AlternateContent xmlns:mc="http://schemas.openxmlformats.org/markup-compatibility/2006">
          <mc:Choice Requires="x14">
            <control shapeId="8197" r:id="rId7" name="Button 5">
              <controlPr defaultSize="0" print="0" autoFill="0" autoPict="0" macro="[0]!IRPARAABC">
                <anchor moveWithCells="1" sizeWithCells="1">
                  <from>
                    <xdr:col>3</xdr:col>
                    <xdr:colOff>28575</xdr:colOff>
                    <xdr:row>7</xdr:row>
                    <xdr:rowOff>19050</xdr:rowOff>
                  </from>
                  <to>
                    <xdr:col>3</xdr:col>
                    <xdr:colOff>2009775</xdr:colOff>
                    <xdr:row>9</xdr:row>
                    <xdr:rowOff>371475</xdr:rowOff>
                  </to>
                </anchor>
              </controlPr>
            </control>
          </mc:Choice>
        </mc:AlternateContent>
        <mc:AlternateContent xmlns:mc="http://schemas.openxmlformats.org/markup-compatibility/2006">
          <mc:Choice Requires="x14">
            <control shapeId="8211" r:id="rId8" name="Button 19">
              <controlPr defaultSize="0" print="0" autoFill="0" autoPict="0" macro="[0]!IRPARADEMANDA">
                <anchor moveWithCells="1" sizeWithCells="1">
                  <from>
                    <xdr:col>5</xdr:col>
                    <xdr:colOff>28575</xdr:colOff>
                    <xdr:row>7</xdr:row>
                    <xdr:rowOff>66675</xdr:rowOff>
                  </from>
                  <to>
                    <xdr:col>5</xdr:col>
                    <xdr:colOff>2219325</xdr:colOff>
                    <xdr:row>10</xdr:row>
                    <xdr:rowOff>0</xdr:rowOff>
                  </to>
                </anchor>
              </controlPr>
            </control>
          </mc:Choice>
        </mc:AlternateContent>
        <mc:AlternateContent xmlns:mc="http://schemas.openxmlformats.org/markup-compatibility/2006">
          <mc:Choice Requires="x14">
            <control shapeId="8213" r:id="rId9" name="Button 21">
              <controlPr defaultSize="0" print="0" autoFill="0" autoPict="0" macro="[0]!IRPARALISTADEPREÇOS">
                <anchor moveWithCells="1" sizeWithCells="1">
                  <from>
                    <xdr:col>3</xdr:col>
                    <xdr:colOff>38100</xdr:colOff>
                    <xdr:row>2</xdr:row>
                    <xdr:rowOff>47625</xdr:rowOff>
                  </from>
                  <to>
                    <xdr:col>4</xdr:col>
                    <xdr:colOff>28575</xdr:colOff>
                    <xdr:row>4</xdr:row>
                    <xdr:rowOff>381000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ACC83-A06C-40F8-BDA1-BBA0D1F44660}">
  <dimension ref="A1:L30"/>
  <sheetViews>
    <sheetView workbookViewId="0">
      <selection activeCell="C24" sqref="C24"/>
    </sheetView>
  </sheetViews>
  <sheetFormatPr defaultColWidth="46.5703125" defaultRowHeight="18" x14ac:dyDescent="0.25"/>
  <cols>
    <col min="1" max="1" width="25.7109375" style="223" customWidth="1"/>
    <col min="2" max="2" width="34" style="223" customWidth="1"/>
    <col min="3" max="3" width="35.140625" style="223" customWidth="1"/>
    <col min="4" max="4" width="53" style="223" customWidth="1"/>
    <col min="5" max="5" width="37.7109375" style="223" customWidth="1"/>
    <col min="6" max="16384" width="46.5703125" style="223"/>
  </cols>
  <sheetData>
    <row r="1" spans="1:12" x14ac:dyDescent="0.25">
      <c r="A1" s="228" t="s">
        <v>159</v>
      </c>
      <c r="B1" s="229"/>
      <c r="C1" s="229"/>
      <c r="D1" s="230"/>
      <c r="E1" s="237"/>
      <c r="F1" s="239"/>
      <c r="G1" s="227"/>
    </row>
    <row r="2" spans="1:12" ht="18.75" thickBot="1" x14ac:dyDescent="0.3">
      <c r="A2" s="231" t="s">
        <v>160</v>
      </c>
      <c r="B2" s="226"/>
      <c r="C2" s="226"/>
      <c r="D2" s="232"/>
      <c r="E2" s="237"/>
      <c r="F2" s="240"/>
      <c r="G2" s="227"/>
    </row>
    <row r="3" spans="1:12" x14ac:dyDescent="0.25">
      <c r="A3" s="231" t="s">
        <v>161</v>
      </c>
      <c r="B3" s="226"/>
      <c r="C3" s="226"/>
      <c r="D3" s="232"/>
      <c r="E3" s="237"/>
      <c r="F3" s="243"/>
      <c r="G3" s="227"/>
    </row>
    <row r="4" spans="1:12" x14ac:dyDescent="0.25">
      <c r="A4" s="231" t="s">
        <v>162</v>
      </c>
      <c r="B4" s="226"/>
      <c r="C4" s="226"/>
      <c r="D4" s="232"/>
      <c r="E4" s="237"/>
      <c r="F4" s="244"/>
      <c r="G4" s="227"/>
    </row>
    <row r="5" spans="1:12" ht="18.75" thickBot="1" x14ac:dyDescent="0.3">
      <c r="A5" s="231" t="s">
        <v>164</v>
      </c>
      <c r="B5" s="226"/>
      <c r="C5" s="226"/>
      <c r="D5" s="232"/>
      <c r="E5" s="237"/>
      <c r="F5" s="238"/>
      <c r="G5" s="227"/>
    </row>
    <row r="6" spans="1:12" ht="24" thickBot="1" x14ac:dyDescent="0.4">
      <c r="A6" s="241"/>
      <c r="B6" s="242" t="s">
        <v>165</v>
      </c>
      <c r="C6" s="233">
        <v>371.50016408364024</v>
      </c>
      <c r="D6" s="235" t="s">
        <v>163</v>
      </c>
      <c r="E6" s="227"/>
      <c r="F6" s="225"/>
    </row>
    <row r="7" spans="1:12" ht="24" thickBot="1" x14ac:dyDescent="0.4">
      <c r="A7" s="241"/>
      <c r="B7" s="242" t="s">
        <v>166</v>
      </c>
      <c r="C7" s="234">
        <f>E26+E27*C6</f>
        <v>6503.1666731455616</v>
      </c>
      <c r="D7" s="236">
        <f>C7*C6</f>
        <v>2415927.4861368369</v>
      </c>
      <c r="E7" s="227"/>
    </row>
    <row r="8" spans="1:12" x14ac:dyDescent="0.25">
      <c r="A8" s="225"/>
      <c r="B8" s="225"/>
      <c r="C8" s="252">
        <f>E26+E27*C6</f>
        <v>6503.1666731455616</v>
      </c>
      <c r="D8" s="225"/>
    </row>
    <row r="10" spans="1:12" x14ac:dyDescent="0.25">
      <c r="D10" t="s">
        <v>131</v>
      </c>
      <c r="E10"/>
      <c r="F10"/>
      <c r="G10"/>
      <c r="H10"/>
      <c r="I10"/>
      <c r="J10"/>
      <c r="K10"/>
      <c r="L10"/>
    </row>
    <row r="11" spans="1:12" ht="18.75" thickBot="1" x14ac:dyDescent="0.3">
      <c r="D11"/>
      <c r="E11"/>
      <c r="F11"/>
      <c r="G11"/>
      <c r="H11"/>
      <c r="I11"/>
      <c r="J11"/>
      <c r="K11"/>
      <c r="L11"/>
    </row>
    <row r="12" spans="1:12" x14ac:dyDescent="0.25">
      <c r="D12" s="248" t="s">
        <v>132</v>
      </c>
      <c r="E12" s="248"/>
      <c r="F12"/>
      <c r="G12"/>
      <c r="H12"/>
      <c r="I12"/>
      <c r="J12"/>
      <c r="K12"/>
      <c r="L12"/>
    </row>
    <row r="13" spans="1:12" x14ac:dyDescent="0.25">
      <c r="D13" t="s">
        <v>133</v>
      </c>
      <c r="E13">
        <v>0.56540068740450855</v>
      </c>
      <c r="F13"/>
      <c r="G13"/>
      <c r="H13"/>
      <c r="I13"/>
      <c r="J13"/>
      <c r="K13"/>
      <c r="L13"/>
    </row>
    <row r="14" spans="1:12" x14ac:dyDescent="0.25">
      <c r="D14" t="s">
        <v>134</v>
      </c>
      <c r="E14">
        <v>0.31967793731749083</v>
      </c>
      <c r="F14"/>
      <c r="G14"/>
      <c r="H14"/>
      <c r="I14"/>
      <c r="J14"/>
      <c r="K14"/>
      <c r="L14"/>
    </row>
    <row r="15" spans="1:12" x14ac:dyDescent="0.25">
      <c r="D15" t="s">
        <v>135</v>
      </c>
      <c r="E15">
        <v>0.23463767948217717</v>
      </c>
      <c r="F15"/>
      <c r="G15"/>
      <c r="H15"/>
      <c r="I15"/>
      <c r="J15"/>
      <c r="K15"/>
      <c r="L15"/>
    </row>
    <row r="16" spans="1:12" s="224" customFormat="1" x14ac:dyDescent="0.25">
      <c r="A16" s="224" t="s">
        <v>157</v>
      </c>
      <c r="B16" s="224" t="s">
        <v>158</v>
      </c>
      <c r="C16" s="224" t="s">
        <v>167</v>
      </c>
      <c r="D16" t="s">
        <v>136</v>
      </c>
      <c r="E16">
        <v>8200.6598866041004</v>
      </c>
      <c r="F16"/>
      <c r="G16"/>
      <c r="H16"/>
      <c r="I16"/>
      <c r="J16"/>
      <c r="K16"/>
      <c r="L16"/>
    </row>
    <row r="17" spans="1:12" ht="18.75" thickBot="1" x14ac:dyDescent="0.3">
      <c r="A17" s="223">
        <v>1</v>
      </c>
      <c r="B17" s="223">
        <v>1000</v>
      </c>
      <c r="C17" s="223">
        <v>5</v>
      </c>
      <c r="D17" s="246" t="s">
        <v>137</v>
      </c>
      <c r="E17" s="246">
        <v>10</v>
      </c>
      <c r="F17"/>
      <c r="G17"/>
      <c r="H17"/>
      <c r="I17"/>
      <c r="J17"/>
      <c r="K17"/>
      <c r="L17"/>
    </row>
    <row r="18" spans="1:12" x14ac:dyDescent="0.25">
      <c r="A18" s="223">
        <v>2</v>
      </c>
      <c r="B18" s="223">
        <v>900</v>
      </c>
      <c r="C18" s="223">
        <v>30</v>
      </c>
      <c r="D18"/>
      <c r="E18"/>
      <c r="F18"/>
      <c r="G18"/>
      <c r="H18"/>
      <c r="I18"/>
      <c r="J18"/>
      <c r="K18"/>
      <c r="L18"/>
    </row>
    <row r="19" spans="1:12" ht="18.75" thickBot="1" x14ac:dyDescent="0.3">
      <c r="A19" s="223">
        <v>3</v>
      </c>
      <c r="B19" s="223">
        <v>800</v>
      </c>
      <c r="C19" s="223">
        <v>50</v>
      </c>
      <c r="D19" t="s">
        <v>138</v>
      </c>
      <c r="E19"/>
      <c r="F19"/>
      <c r="G19"/>
      <c r="H19"/>
      <c r="I19"/>
      <c r="J19"/>
      <c r="K19"/>
      <c r="L19"/>
    </row>
    <row r="20" spans="1:12" x14ac:dyDescent="0.25">
      <c r="A20" s="223">
        <v>4</v>
      </c>
      <c r="B20" s="223">
        <v>700</v>
      </c>
      <c r="C20" s="223">
        <v>80</v>
      </c>
      <c r="D20" s="247"/>
      <c r="E20" s="247" t="s">
        <v>143</v>
      </c>
      <c r="F20" s="247" t="s">
        <v>144</v>
      </c>
      <c r="G20" s="247" t="s">
        <v>145</v>
      </c>
      <c r="H20" s="247" t="s">
        <v>146</v>
      </c>
      <c r="I20" s="247" t="s">
        <v>147</v>
      </c>
      <c r="J20"/>
      <c r="K20"/>
      <c r="L20"/>
    </row>
    <row r="21" spans="1:12" x14ac:dyDescent="0.25">
      <c r="A21" s="223">
        <v>5</v>
      </c>
      <c r="B21" s="223">
        <v>600</v>
      </c>
      <c r="C21" s="223">
        <v>120</v>
      </c>
      <c r="D21" t="s">
        <v>139</v>
      </c>
      <c r="E21">
        <v>1</v>
      </c>
      <c r="F21">
        <v>252805021.8939395</v>
      </c>
      <c r="G21">
        <v>252805021.8939395</v>
      </c>
      <c r="H21">
        <v>3.7591365014034808</v>
      </c>
      <c r="I21">
        <v>8.850341539683379E-2</v>
      </c>
      <c r="J21"/>
      <c r="K21"/>
      <c r="L21"/>
    </row>
    <row r="22" spans="1:12" x14ac:dyDescent="0.25">
      <c r="A22" s="223">
        <v>6</v>
      </c>
      <c r="B22" s="223">
        <v>500</v>
      </c>
      <c r="C22" s="223">
        <v>200</v>
      </c>
      <c r="D22" t="s">
        <v>140</v>
      </c>
      <c r="E22">
        <v>8</v>
      </c>
      <c r="F22">
        <v>538006580.6060605</v>
      </c>
      <c r="G22">
        <v>67250822.575757563</v>
      </c>
      <c r="H22"/>
      <c r="I22"/>
      <c r="J22"/>
      <c r="K22"/>
      <c r="L22"/>
    </row>
    <row r="23" spans="1:12" ht="18.75" thickBot="1" x14ac:dyDescent="0.3">
      <c r="A23" s="223">
        <v>7</v>
      </c>
      <c r="B23" s="223">
        <v>371.5</v>
      </c>
      <c r="C23" s="223">
        <v>4000</v>
      </c>
      <c r="D23" s="246" t="s">
        <v>141</v>
      </c>
      <c r="E23" s="246">
        <v>9</v>
      </c>
      <c r="F23" s="246">
        <v>790811602.5</v>
      </c>
      <c r="G23" s="246"/>
      <c r="H23" s="246"/>
      <c r="I23" s="246"/>
      <c r="J23"/>
      <c r="K23"/>
      <c r="L23"/>
    </row>
    <row r="24" spans="1:12" ht="18.75" thickBot="1" x14ac:dyDescent="0.3">
      <c r="A24" s="223">
        <v>8</v>
      </c>
      <c r="B24" s="223">
        <v>300</v>
      </c>
      <c r="C24" s="223">
        <v>800</v>
      </c>
      <c r="D24"/>
      <c r="E24"/>
      <c r="F24"/>
      <c r="G24"/>
      <c r="H24"/>
      <c r="I24"/>
      <c r="J24"/>
      <c r="K24"/>
      <c r="L24"/>
    </row>
    <row r="25" spans="1:12" ht="20.25" x14ac:dyDescent="0.3">
      <c r="A25" s="223">
        <v>9</v>
      </c>
      <c r="B25" s="223">
        <v>200</v>
      </c>
      <c r="C25" s="223">
        <v>2000</v>
      </c>
      <c r="D25" s="247"/>
      <c r="E25" s="249" t="s">
        <v>148</v>
      </c>
      <c r="F25" s="247" t="s">
        <v>136</v>
      </c>
      <c r="G25" s="247" t="s">
        <v>149</v>
      </c>
      <c r="H25" s="247" t="s">
        <v>150</v>
      </c>
      <c r="I25" s="247" t="s">
        <v>151</v>
      </c>
      <c r="J25" s="247" t="s">
        <v>152</v>
      </c>
      <c r="K25" s="247" t="s">
        <v>153</v>
      </c>
      <c r="L25" s="247" t="s">
        <v>154</v>
      </c>
    </row>
    <row r="26" spans="1:12" ht="20.25" x14ac:dyDescent="0.3">
      <c r="A26" s="223">
        <v>10</v>
      </c>
      <c r="B26" s="223">
        <v>100</v>
      </c>
      <c r="C26" s="223">
        <v>30000</v>
      </c>
      <c r="D26" t="s">
        <v>142</v>
      </c>
      <c r="E26" s="250">
        <v>13006.333333333334</v>
      </c>
      <c r="F26">
        <v>5602.1172070941357</v>
      </c>
      <c r="G26">
        <v>2.3216817593289565</v>
      </c>
      <c r="H26">
        <v>4.8791166600931586E-2</v>
      </c>
      <c r="I26">
        <v>87.827887875837405</v>
      </c>
      <c r="J26">
        <v>25924.838778790829</v>
      </c>
      <c r="K26">
        <v>87.827887875837405</v>
      </c>
      <c r="L26">
        <v>25924.838778790829</v>
      </c>
    </row>
    <row r="27" spans="1:12" ht="21" thickBot="1" x14ac:dyDescent="0.35">
      <c r="D27" s="246" t="s">
        <v>158</v>
      </c>
      <c r="E27" s="251">
        <v>-17.505151515151518</v>
      </c>
      <c r="F27" s="246">
        <v>9.0286293852763642</v>
      </c>
      <c r="G27" s="246">
        <v>-1.9388492724818707</v>
      </c>
      <c r="H27" s="246">
        <v>8.8503415396833887E-2</v>
      </c>
      <c r="I27" s="246">
        <v>-38.32520821282467</v>
      </c>
      <c r="J27" s="246">
        <v>3.3149051825216347</v>
      </c>
      <c r="K27" s="246">
        <v>-38.32520821282467</v>
      </c>
      <c r="L27" s="246">
        <v>3.3149051825216347</v>
      </c>
    </row>
    <row r="28" spans="1:12" x14ac:dyDescent="0.25">
      <c r="D28"/>
      <c r="E28"/>
      <c r="F28"/>
      <c r="G28"/>
      <c r="H28"/>
      <c r="I28"/>
      <c r="J28"/>
      <c r="K28"/>
      <c r="L28"/>
    </row>
    <row r="29" spans="1:12" x14ac:dyDescent="0.25">
      <c r="D29"/>
      <c r="E29"/>
      <c r="F29"/>
      <c r="G29"/>
      <c r="H29"/>
      <c r="I29"/>
      <c r="J29"/>
      <c r="K29"/>
      <c r="L29"/>
    </row>
    <row r="30" spans="1:12" x14ac:dyDescent="0.25">
      <c r="D30"/>
      <c r="E30"/>
      <c r="F30"/>
      <c r="G30"/>
      <c r="H30"/>
      <c r="I30"/>
      <c r="J30"/>
      <c r="K30"/>
      <c r="L30"/>
    </row>
  </sheetData>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RETORNARDEDEMANDAPARAPINICIAL">
                <anchor moveWithCells="1" sizeWithCells="1">
                  <from>
                    <xdr:col>5</xdr:col>
                    <xdr:colOff>66675</xdr:colOff>
                    <xdr:row>0</xdr:row>
                    <xdr:rowOff>28575</xdr:rowOff>
                  </from>
                  <to>
                    <xdr:col>5</xdr:col>
                    <xdr:colOff>3095625</xdr:colOff>
                    <xdr:row>4</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T104"/>
  <sheetViews>
    <sheetView topLeftCell="F1" zoomScale="172" zoomScaleNormal="172" workbookViewId="0">
      <selection activeCell="J5" sqref="J5:J68"/>
    </sheetView>
  </sheetViews>
  <sheetFormatPr defaultRowHeight="12.75" x14ac:dyDescent="0.2"/>
  <cols>
    <col min="1" max="1" width="3.5703125" style="141" bestFit="1" customWidth="1"/>
    <col min="2" max="2" width="39.5703125" customWidth="1"/>
    <col min="3" max="3" width="14" style="5" customWidth="1"/>
    <col min="4" max="6" width="12.7109375" style="5" customWidth="1"/>
    <col min="7" max="7" width="9.42578125" style="3" bestFit="1" customWidth="1"/>
    <col min="8" max="8" width="13.140625" style="6" bestFit="1" customWidth="1"/>
    <col min="9" max="9" width="14" style="1" customWidth="1"/>
    <col min="10" max="10" width="9.85546875" style="8" bestFit="1" customWidth="1"/>
    <col min="11" max="11" width="16.140625" bestFit="1" customWidth="1"/>
    <col min="12" max="12" width="16.7109375" bestFit="1" customWidth="1"/>
    <col min="13" max="13" width="16.140625" bestFit="1" customWidth="1"/>
    <col min="14" max="14" width="15.7109375" bestFit="1" customWidth="1"/>
    <col min="15" max="15" width="8.85546875" customWidth="1"/>
    <col min="16" max="16" width="9.42578125" bestFit="1" customWidth="1"/>
    <col min="17" max="17" width="8" style="33" bestFit="1" customWidth="1"/>
  </cols>
  <sheetData>
    <row r="1" spans="1:20" ht="13.5" thickBot="1" x14ac:dyDescent="0.25">
      <c r="B1" s="11" t="s">
        <v>108</v>
      </c>
      <c r="C1" s="207" t="s">
        <v>111</v>
      </c>
      <c r="H1" s="209"/>
      <c r="I1" s="210"/>
      <c r="J1" s="30" t="s">
        <v>30</v>
      </c>
      <c r="K1" s="31" t="e">
        <f>K2/L2</f>
        <v>#DIV/0!</v>
      </c>
      <c r="L1" s="34" t="s">
        <v>31</v>
      </c>
      <c r="M1" s="35" t="e">
        <f>K1</f>
        <v>#DIV/0!</v>
      </c>
      <c r="S1" s="179" t="s">
        <v>107</v>
      </c>
      <c r="T1" s="180" t="s">
        <v>109</v>
      </c>
    </row>
    <row r="2" spans="1:20" ht="13.5" thickBot="1" x14ac:dyDescent="0.25">
      <c r="B2" s="11" t="s">
        <v>5</v>
      </c>
      <c r="C2" s="166">
        <v>45093</v>
      </c>
      <c r="D2" s="48"/>
      <c r="G2" s="47" t="s">
        <v>17</v>
      </c>
      <c r="J2" s="32" t="s">
        <v>3</v>
      </c>
      <c r="K2" s="172">
        <f>SUM(K5:K104)</f>
        <v>0</v>
      </c>
      <c r="L2" s="172">
        <f>SUM(L5:L104)</f>
        <v>0</v>
      </c>
      <c r="M2" s="172">
        <f>SUM(M5:M104)</f>
        <v>0</v>
      </c>
      <c r="N2" s="172">
        <f>SUM(N5:N104)</f>
        <v>0</v>
      </c>
      <c r="P2" s="38" t="e">
        <f>SUM(P5:P68)</f>
        <v>#DIV/0!</v>
      </c>
      <c r="Q2" s="39" t="s">
        <v>37</v>
      </c>
      <c r="S2" s="174"/>
      <c r="T2" s="181" t="s">
        <v>110</v>
      </c>
    </row>
    <row r="3" spans="1:20" ht="13.5" thickBot="1" x14ac:dyDescent="0.25">
      <c r="B3" s="1" t="s">
        <v>4</v>
      </c>
      <c r="C3" s="9"/>
      <c r="D3" s="9"/>
      <c r="G3" s="46" t="s">
        <v>56</v>
      </c>
      <c r="H3" s="45" t="s">
        <v>54</v>
      </c>
      <c r="I3" s="14" t="s">
        <v>9</v>
      </c>
      <c r="J3" s="15" t="s">
        <v>2</v>
      </c>
      <c r="K3" s="23" t="s">
        <v>10</v>
      </c>
      <c r="L3" s="7" t="s">
        <v>8</v>
      </c>
      <c r="M3" s="16" t="s">
        <v>15</v>
      </c>
      <c r="N3" s="16" t="s">
        <v>17</v>
      </c>
      <c r="O3" s="36" t="s">
        <v>33</v>
      </c>
      <c r="P3" s="36" t="s">
        <v>35</v>
      </c>
      <c r="Q3" s="176" t="e">
        <f>Q4</f>
        <v>#DIV/0!</v>
      </c>
      <c r="S3" s="175"/>
      <c r="T3" s="182" t="s">
        <v>111</v>
      </c>
    </row>
    <row r="4" spans="1:20" s="4" customFormat="1" thickBot="1" x14ac:dyDescent="0.25">
      <c r="A4" s="142"/>
      <c r="B4" s="147" t="s">
        <v>32</v>
      </c>
      <c r="C4" s="148" t="s">
        <v>16</v>
      </c>
      <c r="D4" s="148" t="s">
        <v>112</v>
      </c>
      <c r="E4" s="148" t="s">
        <v>113</v>
      </c>
      <c r="F4" s="149" t="s">
        <v>114</v>
      </c>
      <c r="G4" s="150" t="s">
        <v>55</v>
      </c>
      <c r="H4" s="45" t="s">
        <v>38</v>
      </c>
      <c r="I4" s="151"/>
      <c r="J4" s="152" t="s">
        <v>0</v>
      </c>
      <c r="K4" s="153" t="s">
        <v>1</v>
      </c>
      <c r="L4" s="173">
        <f>L2</f>
        <v>0</v>
      </c>
      <c r="M4" s="154" t="s">
        <v>115</v>
      </c>
      <c r="N4" s="154" t="s">
        <v>29</v>
      </c>
      <c r="O4" s="155" t="s">
        <v>34</v>
      </c>
      <c r="P4" s="155" t="s">
        <v>36</v>
      </c>
      <c r="Q4" s="178" t="e">
        <f>SUM(Q5:Q104)</f>
        <v>#DIV/0!</v>
      </c>
    </row>
    <row r="5" spans="1:20" x14ac:dyDescent="0.2">
      <c r="A5" s="143">
        <v>1</v>
      </c>
      <c r="B5" s="258"/>
      <c r="C5" s="168"/>
      <c r="D5" s="168"/>
      <c r="E5" s="168"/>
      <c r="F5" s="167">
        <f>D5+E5</f>
        <v>0</v>
      </c>
      <c r="G5" s="42"/>
      <c r="H5" s="169">
        <f>C5*G5+F5</f>
        <v>0</v>
      </c>
      <c r="I5" s="169">
        <f>C5-H5</f>
        <v>0</v>
      </c>
      <c r="J5" s="208"/>
      <c r="K5" s="170">
        <f>I5*J5</f>
        <v>0</v>
      </c>
      <c r="L5" s="170">
        <f>J5*C5</f>
        <v>0</v>
      </c>
      <c r="M5" s="170">
        <f>F5*J5</f>
        <v>0</v>
      </c>
      <c r="N5" s="170">
        <f>C5*G5*J5</f>
        <v>0</v>
      </c>
      <c r="O5" s="171">
        <f>IF(J5&gt;0,K5/L5,0)</f>
        <v>0</v>
      </c>
      <c r="P5" s="171" t="e">
        <f>L5/$L$2</f>
        <v>#DIV/0!</v>
      </c>
      <c r="Q5" s="177" t="e">
        <f>O5*P5</f>
        <v>#DIV/0!</v>
      </c>
    </row>
    <row r="6" spans="1:20" x14ac:dyDescent="0.2">
      <c r="A6" s="143">
        <v>2</v>
      </c>
      <c r="B6" s="258"/>
      <c r="C6" s="168"/>
      <c r="D6" s="168"/>
      <c r="E6" s="168"/>
      <c r="F6" s="167">
        <f t="shared" ref="F6:F68" si="0">D6+E6</f>
        <v>0</v>
      </c>
      <c r="G6" s="42"/>
      <c r="H6" s="169">
        <f t="shared" ref="H6:H68" si="1">C6*G6+F6</f>
        <v>0</v>
      </c>
      <c r="I6" s="169">
        <f t="shared" ref="I6:I68" si="2">C6-H6</f>
        <v>0</v>
      </c>
      <c r="J6" s="208"/>
      <c r="K6" s="170">
        <f t="shared" ref="K6:K68" si="3">I6*J6</f>
        <v>0</v>
      </c>
      <c r="L6" s="170">
        <f t="shared" ref="L6:L68" si="4">J6*C6</f>
        <v>0</v>
      </c>
      <c r="M6" s="170">
        <f t="shared" ref="M6:M68" si="5">F6*J6</f>
        <v>0</v>
      </c>
      <c r="N6" s="170">
        <f t="shared" ref="N6:N68" si="6">C6*G6*J6</f>
        <v>0</v>
      </c>
      <c r="O6" s="171">
        <f t="shared" ref="O6:O69" si="7">IF(J6&gt;0,K6/L6,0)</f>
        <v>0</v>
      </c>
      <c r="P6" s="171" t="e">
        <f t="shared" ref="P6:P69" si="8">L6/$L$2</f>
        <v>#DIV/0!</v>
      </c>
      <c r="Q6" s="171" t="e">
        <f t="shared" ref="Q6:Q68" si="9">O6*P6</f>
        <v>#DIV/0!</v>
      </c>
    </row>
    <row r="7" spans="1:20" x14ac:dyDescent="0.2">
      <c r="A7" s="143">
        <v>3</v>
      </c>
      <c r="B7" s="258"/>
      <c r="C7" s="168"/>
      <c r="D7" s="168"/>
      <c r="E7" s="168"/>
      <c r="F7" s="167">
        <f t="shared" si="0"/>
        <v>0</v>
      </c>
      <c r="G7" s="42"/>
      <c r="H7" s="169">
        <f t="shared" si="1"/>
        <v>0</v>
      </c>
      <c r="I7" s="169">
        <f t="shared" si="2"/>
        <v>0</v>
      </c>
      <c r="J7" s="208"/>
      <c r="K7" s="170">
        <f t="shared" si="3"/>
        <v>0</v>
      </c>
      <c r="L7" s="170">
        <f t="shared" si="4"/>
        <v>0</v>
      </c>
      <c r="M7" s="170">
        <f t="shared" si="5"/>
        <v>0</v>
      </c>
      <c r="N7" s="170">
        <f t="shared" si="6"/>
        <v>0</v>
      </c>
      <c r="O7" s="171">
        <f t="shared" si="7"/>
        <v>0</v>
      </c>
      <c r="P7" s="171" t="e">
        <f t="shared" si="8"/>
        <v>#DIV/0!</v>
      </c>
      <c r="Q7" s="171" t="e">
        <f t="shared" si="9"/>
        <v>#DIV/0!</v>
      </c>
    </row>
    <row r="8" spans="1:20" x14ac:dyDescent="0.2">
      <c r="A8" s="143">
        <v>4</v>
      </c>
      <c r="B8" s="259"/>
      <c r="C8" s="168"/>
      <c r="D8" s="168"/>
      <c r="E8" s="168"/>
      <c r="F8" s="167">
        <f t="shared" si="0"/>
        <v>0</v>
      </c>
      <c r="G8" s="42"/>
      <c r="H8" s="169">
        <f t="shared" si="1"/>
        <v>0</v>
      </c>
      <c r="I8" s="169">
        <f t="shared" si="2"/>
        <v>0</v>
      </c>
      <c r="J8" s="208"/>
      <c r="K8" s="170">
        <f t="shared" si="3"/>
        <v>0</v>
      </c>
      <c r="L8" s="170">
        <f t="shared" si="4"/>
        <v>0</v>
      </c>
      <c r="M8" s="170">
        <f t="shared" si="5"/>
        <v>0</v>
      </c>
      <c r="N8" s="170">
        <f t="shared" si="6"/>
        <v>0</v>
      </c>
      <c r="O8" s="171">
        <f t="shared" si="7"/>
        <v>0</v>
      </c>
      <c r="P8" s="171" t="e">
        <f t="shared" si="8"/>
        <v>#DIV/0!</v>
      </c>
      <c r="Q8" s="171" t="e">
        <f t="shared" si="9"/>
        <v>#DIV/0!</v>
      </c>
    </row>
    <row r="9" spans="1:20" x14ac:dyDescent="0.2">
      <c r="A9" s="143">
        <v>5</v>
      </c>
      <c r="B9" s="259"/>
      <c r="C9" s="168"/>
      <c r="D9" s="168"/>
      <c r="E9" s="168"/>
      <c r="F9" s="167">
        <f t="shared" si="0"/>
        <v>0</v>
      </c>
      <c r="G9" s="42"/>
      <c r="H9" s="169">
        <f t="shared" si="1"/>
        <v>0</v>
      </c>
      <c r="I9" s="169">
        <f t="shared" si="2"/>
        <v>0</v>
      </c>
      <c r="J9" s="208"/>
      <c r="K9" s="170">
        <f t="shared" si="3"/>
        <v>0</v>
      </c>
      <c r="L9" s="170">
        <f t="shared" si="4"/>
        <v>0</v>
      </c>
      <c r="M9" s="170">
        <f t="shared" si="5"/>
        <v>0</v>
      </c>
      <c r="N9" s="170">
        <f t="shared" si="6"/>
        <v>0</v>
      </c>
      <c r="O9" s="171">
        <f t="shared" si="7"/>
        <v>0</v>
      </c>
      <c r="P9" s="171" t="e">
        <f t="shared" si="8"/>
        <v>#DIV/0!</v>
      </c>
      <c r="Q9" s="171" t="e">
        <f t="shared" si="9"/>
        <v>#DIV/0!</v>
      </c>
    </row>
    <row r="10" spans="1:20" x14ac:dyDescent="0.2">
      <c r="A10" s="143">
        <v>6</v>
      </c>
      <c r="B10" s="259"/>
      <c r="C10" s="168"/>
      <c r="D10" s="168"/>
      <c r="E10" s="168"/>
      <c r="F10" s="167">
        <f t="shared" si="0"/>
        <v>0</v>
      </c>
      <c r="G10" s="42"/>
      <c r="H10" s="169">
        <f t="shared" si="1"/>
        <v>0</v>
      </c>
      <c r="I10" s="169">
        <f t="shared" si="2"/>
        <v>0</v>
      </c>
      <c r="J10" s="208"/>
      <c r="K10" s="170">
        <f t="shared" si="3"/>
        <v>0</v>
      </c>
      <c r="L10" s="170">
        <f t="shared" si="4"/>
        <v>0</v>
      </c>
      <c r="M10" s="170">
        <f t="shared" si="5"/>
        <v>0</v>
      </c>
      <c r="N10" s="170">
        <f t="shared" si="6"/>
        <v>0</v>
      </c>
      <c r="O10" s="171">
        <f t="shared" si="7"/>
        <v>0</v>
      </c>
      <c r="P10" s="171" t="e">
        <f t="shared" si="8"/>
        <v>#DIV/0!</v>
      </c>
      <c r="Q10" s="171" t="e">
        <f t="shared" si="9"/>
        <v>#DIV/0!</v>
      </c>
    </row>
    <row r="11" spans="1:20" x14ac:dyDescent="0.2">
      <c r="A11" s="143">
        <v>7</v>
      </c>
      <c r="B11" s="259"/>
      <c r="C11" s="168"/>
      <c r="D11" s="168"/>
      <c r="E11" s="168"/>
      <c r="F11" s="167">
        <f t="shared" si="0"/>
        <v>0</v>
      </c>
      <c r="G11" s="42"/>
      <c r="H11" s="169">
        <f t="shared" si="1"/>
        <v>0</v>
      </c>
      <c r="I11" s="169">
        <f t="shared" si="2"/>
        <v>0</v>
      </c>
      <c r="J11" s="208"/>
      <c r="K11" s="170">
        <f t="shared" si="3"/>
        <v>0</v>
      </c>
      <c r="L11" s="170">
        <f t="shared" si="4"/>
        <v>0</v>
      </c>
      <c r="M11" s="170">
        <f t="shared" si="5"/>
        <v>0</v>
      </c>
      <c r="N11" s="170">
        <f t="shared" si="6"/>
        <v>0</v>
      </c>
      <c r="O11" s="171">
        <f t="shared" si="7"/>
        <v>0</v>
      </c>
      <c r="P11" s="171" t="e">
        <f t="shared" si="8"/>
        <v>#DIV/0!</v>
      </c>
      <c r="Q11" s="171" t="e">
        <f t="shared" si="9"/>
        <v>#DIV/0!</v>
      </c>
    </row>
    <row r="12" spans="1:20" x14ac:dyDescent="0.2">
      <c r="A12" s="143">
        <v>8</v>
      </c>
      <c r="B12" s="259"/>
      <c r="C12" s="168"/>
      <c r="D12" s="168"/>
      <c r="E12" s="168"/>
      <c r="F12" s="167">
        <f t="shared" si="0"/>
        <v>0</v>
      </c>
      <c r="G12" s="42"/>
      <c r="H12" s="169">
        <f t="shared" si="1"/>
        <v>0</v>
      </c>
      <c r="I12" s="169">
        <f t="shared" si="2"/>
        <v>0</v>
      </c>
      <c r="J12" s="208"/>
      <c r="K12" s="170">
        <f t="shared" si="3"/>
        <v>0</v>
      </c>
      <c r="L12" s="170">
        <f t="shared" si="4"/>
        <v>0</v>
      </c>
      <c r="M12" s="170">
        <f t="shared" si="5"/>
        <v>0</v>
      </c>
      <c r="N12" s="170">
        <f t="shared" si="6"/>
        <v>0</v>
      </c>
      <c r="O12" s="171">
        <f t="shared" si="7"/>
        <v>0</v>
      </c>
      <c r="P12" s="171" t="e">
        <f t="shared" si="8"/>
        <v>#DIV/0!</v>
      </c>
      <c r="Q12" s="171" t="e">
        <f t="shared" si="9"/>
        <v>#DIV/0!</v>
      </c>
    </row>
    <row r="13" spans="1:20" x14ac:dyDescent="0.2">
      <c r="A13" s="143">
        <v>9</v>
      </c>
      <c r="B13" s="259"/>
      <c r="C13" s="168"/>
      <c r="D13" s="168"/>
      <c r="E13" s="168"/>
      <c r="F13" s="167">
        <f t="shared" si="0"/>
        <v>0</v>
      </c>
      <c r="G13" s="42"/>
      <c r="H13" s="169">
        <f t="shared" si="1"/>
        <v>0</v>
      </c>
      <c r="I13" s="169">
        <f t="shared" si="2"/>
        <v>0</v>
      </c>
      <c r="J13" s="208"/>
      <c r="K13" s="170">
        <f t="shared" si="3"/>
        <v>0</v>
      </c>
      <c r="L13" s="170">
        <f t="shared" si="4"/>
        <v>0</v>
      </c>
      <c r="M13" s="170">
        <f t="shared" si="5"/>
        <v>0</v>
      </c>
      <c r="N13" s="170">
        <f t="shared" si="6"/>
        <v>0</v>
      </c>
      <c r="O13" s="171">
        <f t="shared" si="7"/>
        <v>0</v>
      </c>
      <c r="P13" s="171" t="e">
        <f t="shared" si="8"/>
        <v>#DIV/0!</v>
      </c>
      <c r="Q13" s="171" t="e">
        <f t="shared" si="9"/>
        <v>#DIV/0!</v>
      </c>
    </row>
    <row r="14" spans="1:20" x14ac:dyDescent="0.2">
      <c r="A14" s="143">
        <v>10</v>
      </c>
      <c r="B14" s="259"/>
      <c r="C14" s="168"/>
      <c r="D14" s="168"/>
      <c r="E14" s="168"/>
      <c r="F14" s="167">
        <f t="shared" si="0"/>
        <v>0</v>
      </c>
      <c r="G14" s="42"/>
      <c r="H14" s="169">
        <f t="shared" si="1"/>
        <v>0</v>
      </c>
      <c r="I14" s="169">
        <f t="shared" si="2"/>
        <v>0</v>
      </c>
      <c r="J14" s="208"/>
      <c r="K14" s="170">
        <f t="shared" si="3"/>
        <v>0</v>
      </c>
      <c r="L14" s="170">
        <f t="shared" si="4"/>
        <v>0</v>
      </c>
      <c r="M14" s="170">
        <f t="shared" si="5"/>
        <v>0</v>
      </c>
      <c r="N14" s="170">
        <f t="shared" si="6"/>
        <v>0</v>
      </c>
      <c r="O14" s="171">
        <f t="shared" si="7"/>
        <v>0</v>
      </c>
      <c r="P14" s="171" t="e">
        <f t="shared" si="8"/>
        <v>#DIV/0!</v>
      </c>
      <c r="Q14" s="171" t="e">
        <f t="shared" si="9"/>
        <v>#DIV/0!</v>
      </c>
    </row>
    <row r="15" spans="1:20" x14ac:dyDescent="0.2">
      <c r="A15" s="143">
        <v>11</v>
      </c>
      <c r="B15" s="259"/>
      <c r="C15" s="168"/>
      <c r="D15" s="168"/>
      <c r="E15" s="168"/>
      <c r="F15" s="167">
        <f t="shared" si="0"/>
        <v>0</v>
      </c>
      <c r="G15" s="42"/>
      <c r="H15" s="169">
        <f t="shared" si="1"/>
        <v>0</v>
      </c>
      <c r="I15" s="169">
        <f t="shared" si="2"/>
        <v>0</v>
      </c>
      <c r="J15" s="208"/>
      <c r="K15" s="170">
        <f t="shared" si="3"/>
        <v>0</v>
      </c>
      <c r="L15" s="170">
        <f t="shared" si="4"/>
        <v>0</v>
      </c>
      <c r="M15" s="170">
        <f t="shared" si="5"/>
        <v>0</v>
      </c>
      <c r="N15" s="170">
        <f t="shared" si="6"/>
        <v>0</v>
      </c>
      <c r="O15" s="171">
        <f t="shared" si="7"/>
        <v>0</v>
      </c>
      <c r="P15" s="171" t="e">
        <f t="shared" si="8"/>
        <v>#DIV/0!</v>
      </c>
      <c r="Q15" s="171" t="e">
        <f t="shared" si="9"/>
        <v>#DIV/0!</v>
      </c>
    </row>
    <row r="16" spans="1:20" x14ac:dyDescent="0.2">
      <c r="A16" s="143">
        <v>12</v>
      </c>
      <c r="B16" s="259"/>
      <c r="C16" s="168"/>
      <c r="D16" s="168"/>
      <c r="E16" s="168"/>
      <c r="F16" s="167">
        <f t="shared" si="0"/>
        <v>0</v>
      </c>
      <c r="G16" s="42"/>
      <c r="H16" s="169">
        <f t="shared" si="1"/>
        <v>0</v>
      </c>
      <c r="I16" s="169">
        <f t="shared" si="2"/>
        <v>0</v>
      </c>
      <c r="J16" s="208"/>
      <c r="K16" s="170">
        <f t="shared" si="3"/>
        <v>0</v>
      </c>
      <c r="L16" s="170">
        <f t="shared" si="4"/>
        <v>0</v>
      </c>
      <c r="M16" s="170">
        <f t="shared" si="5"/>
        <v>0</v>
      </c>
      <c r="N16" s="170">
        <f t="shared" si="6"/>
        <v>0</v>
      </c>
      <c r="O16" s="171">
        <f t="shared" si="7"/>
        <v>0</v>
      </c>
      <c r="P16" s="171" t="e">
        <f t="shared" si="8"/>
        <v>#DIV/0!</v>
      </c>
      <c r="Q16" s="171" t="e">
        <f t="shared" si="9"/>
        <v>#DIV/0!</v>
      </c>
    </row>
    <row r="17" spans="1:17" x14ac:dyDescent="0.2">
      <c r="A17" s="143">
        <v>13</v>
      </c>
      <c r="B17" s="259"/>
      <c r="C17" s="168"/>
      <c r="D17" s="168"/>
      <c r="E17" s="168"/>
      <c r="F17" s="167">
        <f t="shared" si="0"/>
        <v>0</v>
      </c>
      <c r="G17" s="42"/>
      <c r="H17" s="169">
        <f t="shared" si="1"/>
        <v>0</v>
      </c>
      <c r="I17" s="169">
        <f t="shared" si="2"/>
        <v>0</v>
      </c>
      <c r="J17" s="208"/>
      <c r="K17" s="170">
        <f t="shared" si="3"/>
        <v>0</v>
      </c>
      <c r="L17" s="170">
        <f t="shared" si="4"/>
        <v>0</v>
      </c>
      <c r="M17" s="170">
        <f t="shared" si="5"/>
        <v>0</v>
      </c>
      <c r="N17" s="170">
        <f t="shared" si="6"/>
        <v>0</v>
      </c>
      <c r="O17" s="171">
        <f t="shared" si="7"/>
        <v>0</v>
      </c>
      <c r="P17" s="171" t="e">
        <f t="shared" si="8"/>
        <v>#DIV/0!</v>
      </c>
      <c r="Q17" s="171" t="e">
        <f t="shared" si="9"/>
        <v>#DIV/0!</v>
      </c>
    </row>
    <row r="18" spans="1:17" x14ac:dyDescent="0.2">
      <c r="A18" s="143">
        <v>14</v>
      </c>
      <c r="B18" s="259"/>
      <c r="C18" s="168"/>
      <c r="D18" s="168"/>
      <c r="E18" s="168"/>
      <c r="F18" s="167">
        <f t="shared" si="0"/>
        <v>0</v>
      </c>
      <c r="G18" s="42"/>
      <c r="H18" s="169">
        <f t="shared" si="1"/>
        <v>0</v>
      </c>
      <c r="I18" s="169">
        <f t="shared" si="2"/>
        <v>0</v>
      </c>
      <c r="J18" s="208"/>
      <c r="K18" s="170">
        <f t="shared" si="3"/>
        <v>0</v>
      </c>
      <c r="L18" s="170">
        <f t="shared" si="4"/>
        <v>0</v>
      </c>
      <c r="M18" s="170">
        <f t="shared" si="5"/>
        <v>0</v>
      </c>
      <c r="N18" s="170">
        <f t="shared" si="6"/>
        <v>0</v>
      </c>
      <c r="O18" s="171">
        <f t="shared" si="7"/>
        <v>0</v>
      </c>
      <c r="P18" s="171" t="e">
        <f t="shared" si="8"/>
        <v>#DIV/0!</v>
      </c>
      <c r="Q18" s="171" t="e">
        <f t="shared" si="9"/>
        <v>#DIV/0!</v>
      </c>
    </row>
    <row r="19" spans="1:17" x14ac:dyDescent="0.2">
      <c r="A19" s="143">
        <v>15</v>
      </c>
      <c r="B19" s="259"/>
      <c r="C19" s="168"/>
      <c r="D19" s="168"/>
      <c r="E19" s="168"/>
      <c r="F19" s="167">
        <f t="shared" si="0"/>
        <v>0</v>
      </c>
      <c r="G19" s="42"/>
      <c r="H19" s="169">
        <f t="shared" si="1"/>
        <v>0</v>
      </c>
      <c r="I19" s="169">
        <f t="shared" si="2"/>
        <v>0</v>
      </c>
      <c r="J19" s="208"/>
      <c r="K19" s="170">
        <f t="shared" si="3"/>
        <v>0</v>
      </c>
      <c r="L19" s="170">
        <f t="shared" si="4"/>
        <v>0</v>
      </c>
      <c r="M19" s="170">
        <f t="shared" si="5"/>
        <v>0</v>
      </c>
      <c r="N19" s="170">
        <f t="shared" si="6"/>
        <v>0</v>
      </c>
      <c r="O19" s="171">
        <f t="shared" si="7"/>
        <v>0</v>
      </c>
      <c r="P19" s="171" t="e">
        <f t="shared" si="8"/>
        <v>#DIV/0!</v>
      </c>
      <c r="Q19" s="171" t="e">
        <f t="shared" si="9"/>
        <v>#DIV/0!</v>
      </c>
    </row>
    <row r="20" spans="1:17" x14ac:dyDescent="0.2">
      <c r="A20" s="143">
        <v>16</v>
      </c>
      <c r="B20" s="259"/>
      <c r="C20" s="168"/>
      <c r="D20" s="168"/>
      <c r="E20" s="168"/>
      <c r="F20" s="167">
        <f t="shared" si="0"/>
        <v>0</v>
      </c>
      <c r="G20" s="42"/>
      <c r="H20" s="169">
        <f t="shared" si="1"/>
        <v>0</v>
      </c>
      <c r="I20" s="169">
        <f t="shared" si="2"/>
        <v>0</v>
      </c>
      <c r="J20" s="208"/>
      <c r="K20" s="170">
        <f t="shared" si="3"/>
        <v>0</v>
      </c>
      <c r="L20" s="170">
        <f t="shared" si="4"/>
        <v>0</v>
      </c>
      <c r="M20" s="170">
        <f t="shared" si="5"/>
        <v>0</v>
      </c>
      <c r="N20" s="170">
        <f t="shared" si="6"/>
        <v>0</v>
      </c>
      <c r="O20" s="171">
        <f t="shared" si="7"/>
        <v>0</v>
      </c>
      <c r="P20" s="171" t="e">
        <f t="shared" si="8"/>
        <v>#DIV/0!</v>
      </c>
      <c r="Q20" s="171" t="e">
        <f t="shared" si="9"/>
        <v>#DIV/0!</v>
      </c>
    </row>
    <row r="21" spans="1:17" x14ac:dyDescent="0.2">
      <c r="A21" s="143">
        <v>17</v>
      </c>
      <c r="B21" s="259"/>
      <c r="C21" s="168"/>
      <c r="D21" s="168"/>
      <c r="E21" s="168"/>
      <c r="F21" s="167">
        <f t="shared" si="0"/>
        <v>0</v>
      </c>
      <c r="G21" s="42"/>
      <c r="H21" s="169">
        <f t="shared" si="1"/>
        <v>0</v>
      </c>
      <c r="I21" s="169">
        <f t="shared" si="2"/>
        <v>0</v>
      </c>
      <c r="J21" s="208"/>
      <c r="K21" s="170">
        <f t="shared" si="3"/>
        <v>0</v>
      </c>
      <c r="L21" s="170">
        <f t="shared" si="4"/>
        <v>0</v>
      </c>
      <c r="M21" s="170">
        <f t="shared" si="5"/>
        <v>0</v>
      </c>
      <c r="N21" s="170">
        <f t="shared" si="6"/>
        <v>0</v>
      </c>
      <c r="O21" s="171">
        <f t="shared" si="7"/>
        <v>0</v>
      </c>
      <c r="P21" s="171" t="e">
        <f t="shared" si="8"/>
        <v>#DIV/0!</v>
      </c>
      <c r="Q21" s="171" t="e">
        <f t="shared" si="9"/>
        <v>#DIV/0!</v>
      </c>
    </row>
    <row r="22" spans="1:17" x14ac:dyDescent="0.2">
      <c r="A22" s="143">
        <v>18</v>
      </c>
      <c r="B22" s="259"/>
      <c r="C22" s="168"/>
      <c r="D22" s="168"/>
      <c r="E22" s="168"/>
      <c r="F22" s="167">
        <f t="shared" si="0"/>
        <v>0</v>
      </c>
      <c r="G22" s="42"/>
      <c r="H22" s="169">
        <f t="shared" si="1"/>
        <v>0</v>
      </c>
      <c r="I22" s="169">
        <f t="shared" si="2"/>
        <v>0</v>
      </c>
      <c r="J22" s="208"/>
      <c r="K22" s="170">
        <f t="shared" si="3"/>
        <v>0</v>
      </c>
      <c r="L22" s="170">
        <f t="shared" si="4"/>
        <v>0</v>
      </c>
      <c r="M22" s="170">
        <f t="shared" si="5"/>
        <v>0</v>
      </c>
      <c r="N22" s="170">
        <f t="shared" si="6"/>
        <v>0</v>
      </c>
      <c r="O22" s="171">
        <f t="shared" si="7"/>
        <v>0</v>
      </c>
      <c r="P22" s="171" t="e">
        <f t="shared" si="8"/>
        <v>#DIV/0!</v>
      </c>
      <c r="Q22" s="171" t="e">
        <f t="shared" si="9"/>
        <v>#DIV/0!</v>
      </c>
    </row>
    <row r="23" spans="1:17" x14ac:dyDescent="0.2">
      <c r="A23" s="143">
        <v>19</v>
      </c>
      <c r="B23" s="259"/>
      <c r="C23" s="168"/>
      <c r="D23" s="168"/>
      <c r="E23" s="168"/>
      <c r="F23" s="167">
        <f t="shared" si="0"/>
        <v>0</v>
      </c>
      <c r="G23" s="42"/>
      <c r="H23" s="169">
        <f t="shared" si="1"/>
        <v>0</v>
      </c>
      <c r="I23" s="169">
        <f t="shared" si="2"/>
        <v>0</v>
      </c>
      <c r="J23" s="208"/>
      <c r="K23" s="170">
        <f t="shared" si="3"/>
        <v>0</v>
      </c>
      <c r="L23" s="170">
        <f t="shared" si="4"/>
        <v>0</v>
      </c>
      <c r="M23" s="170">
        <f t="shared" si="5"/>
        <v>0</v>
      </c>
      <c r="N23" s="170">
        <f t="shared" si="6"/>
        <v>0</v>
      </c>
      <c r="O23" s="171">
        <f t="shared" si="7"/>
        <v>0</v>
      </c>
      <c r="P23" s="171" t="e">
        <f t="shared" si="8"/>
        <v>#DIV/0!</v>
      </c>
      <c r="Q23" s="171" t="e">
        <f t="shared" si="9"/>
        <v>#DIV/0!</v>
      </c>
    </row>
    <row r="24" spans="1:17" x14ac:dyDescent="0.2">
      <c r="A24" s="143">
        <v>20</v>
      </c>
      <c r="B24" s="259"/>
      <c r="C24" s="168"/>
      <c r="D24" s="168"/>
      <c r="E24" s="168"/>
      <c r="F24" s="167">
        <f t="shared" si="0"/>
        <v>0</v>
      </c>
      <c r="G24" s="42"/>
      <c r="H24" s="169">
        <f t="shared" si="1"/>
        <v>0</v>
      </c>
      <c r="I24" s="169">
        <f t="shared" si="2"/>
        <v>0</v>
      </c>
      <c r="J24" s="208"/>
      <c r="K24" s="170">
        <f t="shared" si="3"/>
        <v>0</v>
      </c>
      <c r="L24" s="170">
        <f t="shared" si="4"/>
        <v>0</v>
      </c>
      <c r="M24" s="170">
        <f t="shared" si="5"/>
        <v>0</v>
      </c>
      <c r="N24" s="170">
        <f t="shared" si="6"/>
        <v>0</v>
      </c>
      <c r="O24" s="171">
        <f t="shared" si="7"/>
        <v>0</v>
      </c>
      <c r="P24" s="171" t="e">
        <f t="shared" si="8"/>
        <v>#DIV/0!</v>
      </c>
      <c r="Q24" s="171" t="e">
        <f t="shared" si="9"/>
        <v>#DIV/0!</v>
      </c>
    </row>
    <row r="25" spans="1:17" x14ac:dyDescent="0.2">
      <c r="A25" s="143">
        <v>21</v>
      </c>
      <c r="B25" s="260"/>
      <c r="C25" s="168"/>
      <c r="D25" s="168"/>
      <c r="E25" s="168"/>
      <c r="F25" s="167">
        <f t="shared" si="0"/>
        <v>0</v>
      </c>
      <c r="G25" s="42"/>
      <c r="H25" s="169">
        <f t="shared" si="1"/>
        <v>0</v>
      </c>
      <c r="I25" s="169">
        <f t="shared" si="2"/>
        <v>0</v>
      </c>
      <c r="J25" s="13"/>
      <c r="K25" s="170">
        <f t="shared" si="3"/>
        <v>0</v>
      </c>
      <c r="L25" s="170">
        <f t="shared" si="4"/>
        <v>0</v>
      </c>
      <c r="M25" s="170">
        <f t="shared" si="5"/>
        <v>0</v>
      </c>
      <c r="N25" s="170">
        <f t="shared" si="6"/>
        <v>0</v>
      </c>
      <c r="O25" s="171">
        <f t="shared" si="7"/>
        <v>0</v>
      </c>
      <c r="P25" s="171" t="e">
        <f t="shared" si="8"/>
        <v>#DIV/0!</v>
      </c>
      <c r="Q25" s="171" t="e">
        <f t="shared" si="9"/>
        <v>#DIV/0!</v>
      </c>
    </row>
    <row r="26" spans="1:17" x14ac:dyDescent="0.2">
      <c r="A26" s="143">
        <v>22</v>
      </c>
      <c r="B26" s="260"/>
      <c r="C26" s="168"/>
      <c r="D26" s="168"/>
      <c r="E26" s="168"/>
      <c r="F26" s="167">
        <f t="shared" si="0"/>
        <v>0</v>
      </c>
      <c r="G26" s="42"/>
      <c r="H26" s="169">
        <f t="shared" si="1"/>
        <v>0</v>
      </c>
      <c r="I26" s="169">
        <f t="shared" si="2"/>
        <v>0</v>
      </c>
      <c r="J26" s="13"/>
      <c r="K26" s="170">
        <f t="shared" si="3"/>
        <v>0</v>
      </c>
      <c r="L26" s="170">
        <f t="shared" si="4"/>
        <v>0</v>
      </c>
      <c r="M26" s="170">
        <f t="shared" si="5"/>
        <v>0</v>
      </c>
      <c r="N26" s="170">
        <f t="shared" si="6"/>
        <v>0</v>
      </c>
      <c r="O26" s="171">
        <f t="shared" si="7"/>
        <v>0</v>
      </c>
      <c r="P26" s="171" t="e">
        <f t="shared" si="8"/>
        <v>#DIV/0!</v>
      </c>
      <c r="Q26" s="171" t="e">
        <f t="shared" si="9"/>
        <v>#DIV/0!</v>
      </c>
    </row>
    <row r="27" spans="1:17" x14ac:dyDescent="0.2">
      <c r="A27" s="143">
        <v>23</v>
      </c>
      <c r="B27" s="260"/>
      <c r="C27" s="168"/>
      <c r="D27" s="168"/>
      <c r="E27" s="168"/>
      <c r="F27" s="167">
        <f t="shared" si="0"/>
        <v>0</v>
      </c>
      <c r="G27" s="42"/>
      <c r="H27" s="169">
        <f t="shared" si="1"/>
        <v>0</v>
      </c>
      <c r="I27" s="169">
        <f t="shared" si="2"/>
        <v>0</v>
      </c>
      <c r="J27" s="13"/>
      <c r="K27" s="170">
        <f t="shared" si="3"/>
        <v>0</v>
      </c>
      <c r="L27" s="170">
        <f t="shared" si="4"/>
        <v>0</v>
      </c>
      <c r="M27" s="170">
        <f t="shared" si="5"/>
        <v>0</v>
      </c>
      <c r="N27" s="170">
        <f t="shared" si="6"/>
        <v>0</v>
      </c>
      <c r="O27" s="171">
        <f t="shared" si="7"/>
        <v>0</v>
      </c>
      <c r="P27" s="171" t="e">
        <f t="shared" si="8"/>
        <v>#DIV/0!</v>
      </c>
      <c r="Q27" s="171" t="e">
        <f t="shared" si="9"/>
        <v>#DIV/0!</v>
      </c>
    </row>
    <row r="28" spans="1:17" x14ac:dyDescent="0.2">
      <c r="A28" s="143">
        <v>24</v>
      </c>
      <c r="B28" s="260"/>
      <c r="C28" s="168"/>
      <c r="D28" s="168"/>
      <c r="E28" s="168"/>
      <c r="F28" s="167">
        <f t="shared" si="0"/>
        <v>0</v>
      </c>
      <c r="G28" s="42"/>
      <c r="H28" s="169">
        <f t="shared" si="1"/>
        <v>0</v>
      </c>
      <c r="I28" s="169">
        <f t="shared" si="2"/>
        <v>0</v>
      </c>
      <c r="J28" s="13"/>
      <c r="K28" s="170">
        <f t="shared" si="3"/>
        <v>0</v>
      </c>
      <c r="L28" s="170">
        <f t="shared" si="4"/>
        <v>0</v>
      </c>
      <c r="M28" s="170">
        <f t="shared" si="5"/>
        <v>0</v>
      </c>
      <c r="N28" s="170">
        <f t="shared" si="6"/>
        <v>0</v>
      </c>
      <c r="O28" s="171">
        <f t="shared" si="7"/>
        <v>0</v>
      </c>
      <c r="P28" s="171" t="e">
        <f t="shared" si="8"/>
        <v>#DIV/0!</v>
      </c>
      <c r="Q28" s="171" t="e">
        <f t="shared" si="9"/>
        <v>#DIV/0!</v>
      </c>
    </row>
    <row r="29" spans="1:17" x14ac:dyDescent="0.2">
      <c r="A29" s="143">
        <v>25</v>
      </c>
      <c r="B29" s="260"/>
      <c r="C29" s="168"/>
      <c r="D29" s="168"/>
      <c r="E29" s="168"/>
      <c r="F29" s="167">
        <f t="shared" si="0"/>
        <v>0</v>
      </c>
      <c r="G29" s="42"/>
      <c r="H29" s="169">
        <f t="shared" si="1"/>
        <v>0</v>
      </c>
      <c r="I29" s="169">
        <f t="shared" si="2"/>
        <v>0</v>
      </c>
      <c r="J29" s="13"/>
      <c r="K29" s="170">
        <f t="shared" si="3"/>
        <v>0</v>
      </c>
      <c r="L29" s="170">
        <f t="shared" si="4"/>
        <v>0</v>
      </c>
      <c r="M29" s="170">
        <f t="shared" si="5"/>
        <v>0</v>
      </c>
      <c r="N29" s="170">
        <f t="shared" si="6"/>
        <v>0</v>
      </c>
      <c r="O29" s="171">
        <f t="shared" si="7"/>
        <v>0</v>
      </c>
      <c r="P29" s="171" t="e">
        <f t="shared" si="8"/>
        <v>#DIV/0!</v>
      </c>
      <c r="Q29" s="171" t="e">
        <f t="shared" si="9"/>
        <v>#DIV/0!</v>
      </c>
    </row>
    <row r="30" spans="1:17" x14ac:dyDescent="0.2">
      <c r="A30" s="143">
        <v>26</v>
      </c>
      <c r="B30" s="260"/>
      <c r="C30" s="168"/>
      <c r="D30" s="168"/>
      <c r="E30" s="168"/>
      <c r="F30" s="167">
        <f t="shared" si="0"/>
        <v>0</v>
      </c>
      <c r="G30" s="42"/>
      <c r="H30" s="169">
        <f t="shared" si="1"/>
        <v>0</v>
      </c>
      <c r="I30" s="169">
        <f t="shared" si="2"/>
        <v>0</v>
      </c>
      <c r="J30" s="13"/>
      <c r="K30" s="170">
        <f t="shared" si="3"/>
        <v>0</v>
      </c>
      <c r="L30" s="170">
        <f t="shared" si="4"/>
        <v>0</v>
      </c>
      <c r="M30" s="170">
        <f t="shared" si="5"/>
        <v>0</v>
      </c>
      <c r="N30" s="170">
        <f t="shared" si="6"/>
        <v>0</v>
      </c>
      <c r="O30" s="171">
        <f t="shared" si="7"/>
        <v>0</v>
      </c>
      <c r="P30" s="171" t="e">
        <f t="shared" si="8"/>
        <v>#DIV/0!</v>
      </c>
      <c r="Q30" s="171" t="e">
        <f t="shared" si="9"/>
        <v>#DIV/0!</v>
      </c>
    </row>
    <row r="31" spans="1:17" x14ac:dyDescent="0.2">
      <c r="A31" s="143">
        <v>27</v>
      </c>
      <c r="B31" s="260"/>
      <c r="C31" s="168"/>
      <c r="D31" s="168"/>
      <c r="E31" s="168"/>
      <c r="F31" s="167">
        <f t="shared" si="0"/>
        <v>0</v>
      </c>
      <c r="G31" s="42"/>
      <c r="H31" s="169">
        <f t="shared" si="1"/>
        <v>0</v>
      </c>
      <c r="I31" s="169">
        <f t="shared" si="2"/>
        <v>0</v>
      </c>
      <c r="J31" s="13"/>
      <c r="K31" s="170">
        <f t="shared" si="3"/>
        <v>0</v>
      </c>
      <c r="L31" s="170">
        <f t="shared" si="4"/>
        <v>0</v>
      </c>
      <c r="M31" s="170">
        <f t="shared" si="5"/>
        <v>0</v>
      </c>
      <c r="N31" s="170">
        <f t="shared" si="6"/>
        <v>0</v>
      </c>
      <c r="O31" s="171">
        <f t="shared" si="7"/>
        <v>0</v>
      </c>
      <c r="P31" s="171" t="e">
        <f t="shared" si="8"/>
        <v>#DIV/0!</v>
      </c>
      <c r="Q31" s="171" t="e">
        <f t="shared" si="9"/>
        <v>#DIV/0!</v>
      </c>
    </row>
    <row r="32" spans="1:17" x14ac:dyDescent="0.2">
      <c r="A32" s="143">
        <v>28</v>
      </c>
      <c r="B32" s="260"/>
      <c r="C32" s="168"/>
      <c r="D32" s="168"/>
      <c r="E32" s="168"/>
      <c r="F32" s="167">
        <f t="shared" si="0"/>
        <v>0</v>
      </c>
      <c r="G32" s="42"/>
      <c r="H32" s="169">
        <f t="shared" si="1"/>
        <v>0</v>
      </c>
      <c r="I32" s="169">
        <f t="shared" si="2"/>
        <v>0</v>
      </c>
      <c r="J32" s="13"/>
      <c r="K32" s="170">
        <f t="shared" si="3"/>
        <v>0</v>
      </c>
      <c r="L32" s="170">
        <f t="shared" si="4"/>
        <v>0</v>
      </c>
      <c r="M32" s="170">
        <f t="shared" si="5"/>
        <v>0</v>
      </c>
      <c r="N32" s="170">
        <f t="shared" si="6"/>
        <v>0</v>
      </c>
      <c r="O32" s="171">
        <f t="shared" si="7"/>
        <v>0</v>
      </c>
      <c r="P32" s="171" t="e">
        <f t="shared" si="8"/>
        <v>#DIV/0!</v>
      </c>
      <c r="Q32" s="171" t="e">
        <f t="shared" si="9"/>
        <v>#DIV/0!</v>
      </c>
    </row>
    <row r="33" spans="1:17" x14ac:dyDescent="0.2">
      <c r="A33" s="143">
        <v>29</v>
      </c>
      <c r="B33" s="260"/>
      <c r="C33" s="168"/>
      <c r="D33" s="168"/>
      <c r="E33" s="168"/>
      <c r="F33" s="167">
        <f t="shared" si="0"/>
        <v>0</v>
      </c>
      <c r="G33" s="42"/>
      <c r="H33" s="169">
        <f t="shared" si="1"/>
        <v>0</v>
      </c>
      <c r="I33" s="169">
        <f t="shared" si="2"/>
        <v>0</v>
      </c>
      <c r="J33" s="13"/>
      <c r="K33" s="170">
        <f t="shared" si="3"/>
        <v>0</v>
      </c>
      <c r="L33" s="170">
        <f t="shared" si="4"/>
        <v>0</v>
      </c>
      <c r="M33" s="170">
        <f t="shared" si="5"/>
        <v>0</v>
      </c>
      <c r="N33" s="170">
        <f t="shared" si="6"/>
        <v>0</v>
      </c>
      <c r="O33" s="171">
        <f t="shared" si="7"/>
        <v>0</v>
      </c>
      <c r="P33" s="171" t="e">
        <f t="shared" si="8"/>
        <v>#DIV/0!</v>
      </c>
      <c r="Q33" s="171" t="e">
        <f t="shared" si="9"/>
        <v>#DIV/0!</v>
      </c>
    </row>
    <row r="34" spans="1:17" x14ac:dyDescent="0.2">
      <c r="A34" s="143">
        <v>30</v>
      </c>
      <c r="B34" s="260"/>
      <c r="C34" s="168"/>
      <c r="D34" s="168"/>
      <c r="E34" s="168"/>
      <c r="F34" s="167">
        <f t="shared" si="0"/>
        <v>0</v>
      </c>
      <c r="G34" s="42"/>
      <c r="H34" s="169">
        <f t="shared" si="1"/>
        <v>0</v>
      </c>
      <c r="I34" s="169">
        <f t="shared" si="2"/>
        <v>0</v>
      </c>
      <c r="J34" s="13"/>
      <c r="K34" s="170">
        <f t="shared" si="3"/>
        <v>0</v>
      </c>
      <c r="L34" s="170">
        <f t="shared" si="4"/>
        <v>0</v>
      </c>
      <c r="M34" s="170">
        <f t="shared" si="5"/>
        <v>0</v>
      </c>
      <c r="N34" s="170">
        <f t="shared" si="6"/>
        <v>0</v>
      </c>
      <c r="O34" s="171">
        <f t="shared" si="7"/>
        <v>0</v>
      </c>
      <c r="P34" s="171" t="e">
        <f t="shared" si="8"/>
        <v>#DIV/0!</v>
      </c>
      <c r="Q34" s="171" t="e">
        <f t="shared" si="9"/>
        <v>#DIV/0!</v>
      </c>
    </row>
    <row r="35" spans="1:17" x14ac:dyDescent="0.2">
      <c r="A35" s="143">
        <v>31</v>
      </c>
      <c r="B35" s="260"/>
      <c r="C35" s="168"/>
      <c r="D35" s="168"/>
      <c r="E35" s="168"/>
      <c r="F35" s="167">
        <f t="shared" si="0"/>
        <v>0</v>
      </c>
      <c r="G35" s="42"/>
      <c r="H35" s="169">
        <f t="shared" si="1"/>
        <v>0</v>
      </c>
      <c r="I35" s="169">
        <f t="shared" si="2"/>
        <v>0</v>
      </c>
      <c r="J35" s="13"/>
      <c r="K35" s="170">
        <f t="shared" si="3"/>
        <v>0</v>
      </c>
      <c r="L35" s="170">
        <f t="shared" si="4"/>
        <v>0</v>
      </c>
      <c r="M35" s="170">
        <f t="shared" si="5"/>
        <v>0</v>
      </c>
      <c r="N35" s="170">
        <f t="shared" si="6"/>
        <v>0</v>
      </c>
      <c r="O35" s="171">
        <f t="shared" si="7"/>
        <v>0</v>
      </c>
      <c r="P35" s="171" t="e">
        <f t="shared" si="8"/>
        <v>#DIV/0!</v>
      </c>
      <c r="Q35" s="171" t="e">
        <f t="shared" si="9"/>
        <v>#DIV/0!</v>
      </c>
    </row>
    <row r="36" spans="1:17" x14ac:dyDescent="0.2">
      <c r="A36" s="143">
        <v>32</v>
      </c>
      <c r="B36" s="260"/>
      <c r="C36" s="168"/>
      <c r="D36" s="168"/>
      <c r="E36" s="168"/>
      <c r="F36" s="167">
        <f t="shared" si="0"/>
        <v>0</v>
      </c>
      <c r="G36" s="42"/>
      <c r="H36" s="169">
        <f t="shared" si="1"/>
        <v>0</v>
      </c>
      <c r="I36" s="169">
        <f t="shared" si="2"/>
        <v>0</v>
      </c>
      <c r="J36" s="13"/>
      <c r="K36" s="170">
        <f t="shared" si="3"/>
        <v>0</v>
      </c>
      <c r="L36" s="170">
        <f t="shared" si="4"/>
        <v>0</v>
      </c>
      <c r="M36" s="170">
        <f t="shared" si="5"/>
        <v>0</v>
      </c>
      <c r="N36" s="170">
        <f t="shared" si="6"/>
        <v>0</v>
      </c>
      <c r="O36" s="171">
        <f t="shared" si="7"/>
        <v>0</v>
      </c>
      <c r="P36" s="171" t="e">
        <f t="shared" si="8"/>
        <v>#DIV/0!</v>
      </c>
      <c r="Q36" s="171" t="e">
        <f t="shared" si="9"/>
        <v>#DIV/0!</v>
      </c>
    </row>
    <row r="37" spans="1:17" x14ac:dyDescent="0.2">
      <c r="A37" s="143">
        <v>33</v>
      </c>
      <c r="B37" s="260"/>
      <c r="C37" s="168"/>
      <c r="D37" s="168"/>
      <c r="E37" s="168"/>
      <c r="F37" s="167">
        <f t="shared" si="0"/>
        <v>0</v>
      </c>
      <c r="G37" s="42"/>
      <c r="H37" s="169">
        <f t="shared" si="1"/>
        <v>0</v>
      </c>
      <c r="I37" s="169">
        <f t="shared" si="2"/>
        <v>0</v>
      </c>
      <c r="J37" s="13"/>
      <c r="K37" s="170">
        <f t="shared" si="3"/>
        <v>0</v>
      </c>
      <c r="L37" s="170">
        <f t="shared" si="4"/>
        <v>0</v>
      </c>
      <c r="M37" s="170">
        <f t="shared" si="5"/>
        <v>0</v>
      </c>
      <c r="N37" s="170">
        <f t="shared" si="6"/>
        <v>0</v>
      </c>
      <c r="O37" s="171">
        <f t="shared" si="7"/>
        <v>0</v>
      </c>
      <c r="P37" s="171" t="e">
        <f t="shared" si="8"/>
        <v>#DIV/0!</v>
      </c>
      <c r="Q37" s="171" t="e">
        <f t="shared" si="9"/>
        <v>#DIV/0!</v>
      </c>
    </row>
    <row r="38" spans="1:17" x14ac:dyDescent="0.2">
      <c r="A38" s="143">
        <v>34</v>
      </c>
      <c r="B38" s="260"/>
      <c r="C38" s="168"/>
      <c r="D38" s="168"/>
      <c r="E38" s="168"/>
      <c r="F38" s="167">
        <f t="shared" si="0"/>
        <v>0</v>
      </c>
      <c r="G38" s="42"/>
      <c r="H38" s="169">
        <f t="shared" si="1"/>
        <v>0</v>
      </c>
      <c r="I38" s="169">
        <f t="shared" si="2"/>
        <v>0</v>
      </c>
      <c r="J38" s="13"/>
      <c r="K38" s="170">
        <f t="shared" si="3"/>
        <v>0</v>
      </c>
      <c r="L38" s="170">
        <f t="shared" si="4"/>
        <v>0</v>
      </c>
      <c r="M38" s="170">
        <f t="shared" si="5"/>
        <v>0</v>
      </c>
      <c r="N38" s="170">
        <f t="shared" si="6"/>
        <v>0</v>
      </c>
      <c r="O38" s="171">
        <f t="shared" si="7"/>
        <v>0</v>
      </c>
      <c r="P38" s="171" t="e">
        <f t="shared" si="8"/>
        <v>#DIV/0!</v>
      </c>
      <c r="Q38" s="171" t="e">
        <f t="shared" si="9"/>
        <v>#DIV/0!</v>
      </c>
    </row>
    <row r="39" spans="1:17" x14ac:dyDescent="0.2">
      <c r="A39" s="143">
        <v>35</v>
      </c>
      <c r="B39" s="260"/>
      <c r="C39" s="168"/>
      <c r="D39" s="168"/>
      <c r="E39" s="168"/>
      <c r="F39" s="167">
        <f t="shared" si="0"/>
        <v>0</v>
      </c>
      <c r="G39" s="42"/>
      <c r="H39" s="169">
        <f t="shared" si="1"/>
        <v>0</v>
      </c>
      <c r="I39" s="169">
        <f t="shared" si="2"/>
        <v>0</v>
      </c>
      <c r="J39" s="13"/>
      <c r="K39" s="170">
        <f t="shared" si="3"/>
        <v>0</v>
      </c>
      <c r="L39" s="170">
        <f t="shared" si="4"/>
        <v>0</v>
      </c>
      <c r="M39" s="170">
        <f t="shared" si="5"/>
        <v>0</v>
      </c>
      <c r="N39" s="170">
        <f t="shared" si="6"/>
        <v>0</v>
      </c>
      <c r="O39" s="171">
        <f t="shared" si="7"/>
        <v>0</v>
      </c>
      <c r="P39" s="171" t="e">
        <f t="shared" si="8"/>
        <v>#DIV/0!</v>
      </c>
      <c r="Q39" s="171" t="e">
        <f t="shared" si="9"/>
        <v>#DIV/0!</v>
      </c>
    </row>
    <row r="40" spans="1:17" x14ac:dyDescent="0.2">
      <c r="A40" s="143">
        <v>36</v>
      </c>
      <c r="B40" s="260"/>
      <c r="C40" s="168"/>
      <c r="D40" s="168"/>
      <c r="E40" s="168"/>
      <c r="F40" s="167">
        <f t="shared" si="0"/>
        <v>0</v>
      </c>
      <c r="G40" s="42"/>
      <c r="H40" s="169">
        <f t="shared" si="1"/>
        <v>0</v>
      </c>
      <c r="I40" s="169">
        <f t="shared" si="2"/>
        <v>0</v>
      </c>
      <c r="J40" s="13"/>
      <c r="K40" s="170">
        <f t="shared" si="3"/>
        <v>0</v>
      </c>
      <c r="L40" s="170">
        <f t="shared" si="4"/>
        <v>0</v>
      </c>
      <c r="M40" s="170">
        <f t="shared" si="5"/>
        <v>0</v>
      </c>
      <c r="N40" s="170">
        <f t="shared" si="6"/>
        <v>0</v>
      </c>
      <c r="O40" s="171">
        <f t="shared" si="7"/>
        <v>0</v>
      </c>
      <c r="P40" s="171" t="e">
        <f t="shared" si="8"/>
        <v>#DIV/0!</v>
      </c>
      <c r="Q40" s="171" t="e">
        <f t="shared" si="9"/>
        <v>#DIV/0!</v>
      </c>
    </row>
    <row r="41" spans="1:17" x14ac:dyDescent="0.2">
      <c r="A41" s="143">
        <v>37</v>
      </c>
      <c r="B41" s="260"/>
      <c r="C41" s="168"/>
      <c r="D41" s="168"/>
      <c r="E41" s="168"/>
      <c r="F41" s="167">
        <f t="shared" si="0"/>
        <v>0</v>
      </c>
      <c r="G41" s="42"/>
      <c r="H41" s="169">
        <f t="shared" si="1"/>
        <v>0</v>
      </c>
      <c r="I41" s="169">
        <f t="shared" si="2"/>
        <v>0</v>
      </c>
      <c r="J41" s="13"/>
      <c r="K41" s="170">
        <f t="shared" si="3"/>
        <v>0</v>
      </c>
      <c r="L41" s="170">
        <f t="shared" si="4"/>
        <v>0</v>
      </c>
      <c r="M41" s="170">
        <f t="shared" si="5"/>
        <v>0</v>
      </c>
      <c r="N41" s="170">
        <f t="shared" si="6"/>
        <v>0</v>
      </c>
      <c r="O41" s="171">
        <f t="shared" si="7"/>
        <v>0</v>
      </c>
      <c r="P41" s="171" t="e">
        <f t="shared" si="8"/>
        <v>#DIV/0!</v>
      </c>
      <c r="Q41" s="171" t="e">
        <f t="shared" si="9"/>
        <v>#DIV/0!</v>
      </c>
    </row>
    <row r="42" spans="1:17" x14ac:dyDescent="0.2">
      <c r="A42" s="143">
        <v>38</v>
      </c>
      <c r="B42" s="260"/>
      <c r="C42" s="168"/>
      <c r="D42" s="168"/>
      <c r="E42" s="168"/>
      <c r="F42" s="167">
        <f t="shared" si="0"/>
        <v>0</v>
      </c>
      <c r="G42" s="42"/>
      <c r="H42" s="169">
        <f t="shared" si="1"/>
        <v>0</v>
      </c>
      <c r="I42" s="169">
        <f t="shared" si="2"/>
        <v>0</v>
      </c>
      <c r="J42" s="13"/>
      <c r="K42" s="170">
        <f t="shared" si="3"/>
        <v>0</v>
      </c>
      <c r="L42" s="170">
        <f t="shared" si="4"/>
        <v>0</v>
      </c>
      <c r="M42" s="170">
        <f t="shared" si="5"/>
        <v>0</v>
      </c>
      <c r="N42" s="170">
        <f t="shared" si="6"/>
        <v>0</v>
      </c>
      <c r="O42" s="171">
        <f t="shared" si="7"/>
        <v>0</v>
      </c>
      <c r="P42" s="171" t="e">
        <f t="shared" si="8"/>
        <v>#DIV/0!</v>
      </c>
      <c r="Q42" s="171" t="e">
        <f t="shared" si="9"/>
        <v>#DIV/0!</v>
      </c>
    </row>
    <row r="43" spans="1:17" x14ac:dyDescent="0.2">
      <c r="A43" s="143">
        <v>39</v>
      </c>
      <c r="B43" s="260"/>
      <c r="C43" s="168"/>
      <c r="D43" s="168"/>
      <c r="E43" s="168"/>
      <c r="F43" s="167">
        <f t="shared" si="0"/>
        <v>0</v>
      </c>
      <c r="G43" s="42"/>
      <c r="H43" s="169">
        <f t="shared" si="1"/>
        <v>0</v>
      </c>
      <c r="I43" s="169">
        <f t="shared" si="2"/>
        <v>0</v>
      </c>
      <c r="J43" s="13"/>
      <c r="K43" s="170">
        <f t="shared" si="3"/>
        <v>0</v>
      </c>
      <c r="L43" s="170">
        <f t="shared" si="4"/>
        <v>0</v>
      </c>
      <c r="M43" s="170">
        <f t="shared" si="5"/>
        <v>0</v>
      </c>
      <c r="N43" s="170">
        <f t="shared" si="6"/>
        <v>0</v>
      </c>
      <c r="O43" s="171">
        <f t="shared" si="7"/>
        <v>0</v>
      </c>
      <c r="P43" s="171" t="e">
        <f t="shared" si="8"/>
        <v>#DIV/0!</v>
      </c>
      <c r="Q43" s="171" t="e">
        <f t="shared" si="9"/>
        <v>#DIV/0!</v>
      </c>
    </row>
    <row r="44" spans="1:17" x14ac:dyDescent="0.2">
      <c r="A44" s="143">
        <v>40</v>
      </c>
      <c r="B44" s="260"/>
      <c r="C44" s="168"/>
      <c r="D44" s="168"/>
      <c r="E44" s="168"/>
      <c r="F44" s="167">
        <f t="shared" si="0"/>
        <v>0</v>
      </c>
      <c r="G44" s="42"/>
      <c r="H44" s="169">
        <f t="shared" si="1"/>
        <v>0</v>
      </c>
      <c r="I44" s="169">
        <f t="shared" si="2"/>
        <v>0</v>
      </c>
      <c r="J44" s="13"/>
      <c r="K44" s="170">
        <f t="shared" si="3"/>
        <v>0</v>
      </c>
      <c r="L44" s="170">
        <f t="shared" si="4"/>
        <v>0</v>
      </c>
      <c r="M44" s="170">
        <f t="shared" si="5"/>
        <v>0</v>
      </c>
      <c r="N44" s="170">
        <f t="shared" si="6"/>
        <v>0</v>
      </c>
      <c r="O44" s="171">
        <f t="shared" si="7"/>
        <v>0</v>
      </c>
      <c r="P44" s="171" t="e">
        <f t="shared" si="8"/>
        <v>#DIV/0!</v>
      </c>
      <c r="Q44" s="171" t="e">
        <f t="shared" si="9"/>
        <v>#DIV/0!</v>
      </c>
    </row>
    <row r="45" spans="1:17" x14ac:dyDescent="0.2">
      <c r="A45" s="143">
        <v>41</v>
      </c>
      <c r="B45" s="260"/>
      <c r="C45" s="168"/>
      <c r="D45" s="168"/>
      <c r="E45" s="168"/>
      <c r="F45" s="167">
        <f t="shared" si="0"/>
        <v>0</v>
      </c>
      <c r="G45" s="42"/>
      <c r="H45" s="169">
        <f t="shared" si="1"/>
        <v>0</v>
      </c>
      <c r="I45" s="169">
        <f t="shared" si="2"/>
        <v>0</v>
      </c>
      <c r="J45" s="13"/>
      <c r="K45" s="170">
        <f t="shared" si="3"/>
        <v>0</v>
      </c>
      <c r="L45" s="170">
        <f t="shared" si="4"/>
        <v>0</v>
      </c>
      <c r="M45" s="170">
        <f t="shared" si="5"/>
        <v>0</v>
      </c>
      <c r="N45" s="170">
        <f t="shared" si="6"/>
        <v>0</v>
      </c>
      <c r="O45" s="171">
        <f t="shared" si="7"/>
        <v>0</v>
      </c>
      <c r="P45" s="171" t="e">
        <f t="shared" si="8"/>
        <v>#DIV/0!</v>
      </c>
      <c r="Q45" s="171" t="e">
        <f t="shared" si="9"/>
        <v>#DIV/0!</v>
      </c>
    </row>
    <row r="46" spans="1:17" x14ac:dyDescent="0.2">
      <c r="A46" s="143">
        <v>42</v>
      </c>
      <c r="B46" s="260"/>
      <c r="C46" s="168"/>
      <c r="D46" s="168"/>
      <c r="E46" s="168"/>
      <c r="F46" s="167">
        <f t="shared" si="0"/>
        <v>0</v>
      </c>
      <c r="G46" s="42"/>
      <c r="H46" s="169">
        <f t="shared" si="1"/>
        <v>0</v>
      </c>
      <c r="I46" s="169">
        <f t="shared" si="2"/>
        <v>0</v>
      </c>
      <c r="J46" s="13"/>
      <c r="K46" s="170">
        <f t="shared" si="3"/>
        <v>0</v>
      </c>
      <c r="L46" s="170">
        <f t="shared" si="4"/>
        <v>0</v>
      </c>
      <c r="M46" s="170">
        <f t="shared" si="5"/>
        <v>0</v>
      </c>
      <c r="N46" s="170">
        <f t="shared" si="6"/>
        <v>0</v>
      </c>
      <c r="O46" s="171">
        <f t="shared" si="7"/>
        <v>0</v>
      </c>
      <c r="P46" s="171" t="e">
        <f t="shared" si="8"/>
        <v>#DIV/0!</v>
      </c>
      <c r="Q46" s="171" t="e">
        <f t="shared" si="9"/>
        <v>#DIV/0!</v>
      </c>
    </row>
    <row r="47" spans="1:17" x14ac:dyDescent="0.2">
      <c r="A47" s="143">
        <v>43</v>
      </c>
      <c r="B47" s="260"/>
      <c r="C47" s="168"/>
      <c r="D47" s="168"/>
      <c r="E47" s="168"/>
      <c r="F47" s="167">
        <f t="shared" si="0"/>
        <v>0</v>
      </c>
      <c r="G47" s="42"/>
      <c r="H47" s="169">
        <f t="shared" si="1"/>
        <v>0</v>
      </c>
      <c r="I47" s="169">
        <f t="shared" si="2"/>
        <v>0</v>
      </c>
      <c r="J47" s="13"/>
      <c r="K47" s="170">
        <f t="shared" si="3"/>
        <v>0</v>
      </c>
      <c r="L47" s="170">
        <f t="shared" si="4"/>
        <v>0</v>
      </c>
      <c r="M47" s="170">
        <f t="shared" si="5"/>
        <v>0</v>
      </c>
      <c r="N47" s="170">
        <f t="shared" si="6"/>
        <v>0</v>
      </c>
      <c r="O47" s="171">
        <f t="shared" si="7"/>
        <v>0</v>
      </c>
      <c r="P47" s="171" t="e">
        <f t="shared" si="8"/>
        <v>#DIV/0!</v>
      </c>
      <c r="Q47" s="171" t="e">
        <f t="shared" si="9"/>
        <v>#DIV/0!</v>
      </c>
    </row>
    <row r="48" spans="1:17" x14ac:dyDescent="0.2">
      <c r="A48" s="143">
        <v>44</v>
      </c>
      <c r="B48" s="260"/>
      <c r="C48" s="168"/>
      <c r="D48" s="168"/>
      <c r="E48" s="168"/>
      <c r="F48" s="167">
        <f t="shared" si="0"/>
        <v>0</v>
      </c>
      <c r="G48" s="42"/>
      <c r="H48" s="169">
        <f t="shared" si="1"/>
        <v>0</v>
      </c>
      <c r="I48" s="169">
        <f t="shared" si="2"/>
        <v>0</v>
      </c>
      <c r="J48" s="13"/>
      <c r="K48" s="170">
        <f t="shared" si="3"/>
        <v>0</v>
      </c>
      <c r="L48" s="170">
        <f t="shared" si="4"/>
        <v>0</v>
      </c>
      <c r="M48" s="170">
        <f t="shared" si="5"/>
        <v>0</v>
      </c>
      <c r="N48" s="170">
        <f t="shared" si="6"/>
        <v>0</v>
      </c>
      <c r="O48" s="171">
        <f t="shared" si="7"/>
        <v>0</v>
      </c>
      <c r="P48" s="171" t="e">
        <f t="shared" si="8"/>
        <v>#DIV/0!</v>
      </c>
      <c r="Q48" s="171" t="e">
        <f t="shared" si="9"/>
        <v>#DIV/0!</v>
      </c>
    </row>
    <row r="49" spans="1:17" x14ac:dyDescent="0.2">
      <c r="A49" s="143">
        <v>45</v>
      </c>
      <c r="B49" s="260"/>
      <c r="C49" s="168"/>
      <c r="D49" s="168"/>
      <c r="E49" s="168"/>
      <c r="F49" s="167">
        <f t="shared" si="0"/>
        <v>0</v>
      </c>
      <c r="G49" s="42"/>
      <c r="H49" s="169">
        <f t="shared" si="1"/>
        <v>0</v>
      </c>
      <c r="I49" s="169">
        <f t="shared" si="2"/>
        <v>0</v>
      </c>
      <c r="J49" s="13"/>
      <c r="K49" s="170">
        <f t="shared" si="3"/>
        <v>0</v>
      </c>
      <c r="L49" s="170">
        <f t="shared" si="4"/>
        <v>0</v>
      </c>
      <c r="M49" s="170">
        <f t="shared" si="5"/>
        <v>0</v>
      </c>
      <c r="N49" s="170">
        <f t="shared" si="6"/>
        <v>0</v>
      </c>
      <c r="O49" s="171">
        <f t="shared" si="7"/>
        <v>0</v>
      </c>
      <c r="P49" s="171" t="e">
        <f t="shared" si="8"/>
        <v>#DIV/0!</v>
      </c>
      <c r="Q49" s="171" t="e">
        <f t="shared" si="9"/>
        <v>#DIV/0!</v>
      </c>
    </row>
    <row r="50" spans="1:17" x14ac:dyDescent="0.2">
      <c r="A50" s="143">
        <v>46</v>
      </c>
      <c r="B50" s="260"/>
      <c r="C50" s="168"/>
      <c r="D50" s="168"/>
      <c r="E50" s="168"/>
      <c r="F50" s="167">
        <f t="shared" si="0"/>
        <v>0</v>
      </c>
      <c r="G50" s="42"/>
      <c r="H50" s="169">
        <f t="shared" si="1"/>
        <v>0</v>
      </c>
      <c r="I50" s="169">
        <f t="shared" si="2"/>
        <v>0</v>
      </c>
      <c r="J50" s="13"/>
      <c r="K50" s="170">
        <f t="shared" si="3"/>
        <v>0</v>
      </c>
      <c r="L50" s="170">
        <f t="shared" si="4"/>
        <v>0</v>
      </c>
      <c r="M50" s="170">
        <f t="shared" si="5"/>
        <v>0</v>
      </c>
      <c r="N50" s="170">
        <f t="shared" si="6"/>
        <v>0</v>
      </c>
      <c r="O50" s="171">
        <f t="shared" si="7"/>
        <v>0</v>
      </c>
      <c r="P50" s="171" t="e">
        <f t="shared" si="8"/>
        <v>#DIV/0!</v>
      </c>
      <c r="Q50" s="171" t="e">
        <f t="shared" si="9"/>
        <v>#DIV/0!</v>
      </c>
    </row>
    <row r="51" spans="1:17" x14ac:dyDescent="0.2">
      <c r="A51" s="143">
        <v>47</v>
      </c>
      <c r="B51" s="260"/>
      <c r="C51" s="168"/>
      <c r="D51" s="168"/>
      <c r="E51" s="168"/>
      <c r="F51" s="167">
        <f t="shared" si="0"/>
        <v>0</v>
      </c>
      <c r="G51" s="42"/>
      <c r="H51" s="169">
        <f t="shared" si="1"/>
        <v>0</v>
      </c>
      <c r="I51" s="169">
        <f t="shared" si="2"/>
        <v>0</v>
      </c>
      <c r="J51" s="13"/>
      <c r="K51" s="170">
        <f t="shared" si="3"/>
        <v>0</v>
      </c>
      <c r="L51" s="170">
        <f t="shared" si="4"/>
        <v>0</v>
      </c>
      <c r="M51" s="170">
        <f t="shared" si="5"/>
        <v>0</v>
      </c>
      <c r="N51" s="170">
        <f t="shared" si="6"/>
        <v>0</v>
      </c>
      <c r="O51" s="171">
        <f t="shared" si="7"/>
        <v>0</v>
      </c>
      <c r="P51" s="171" t="e">
        <f t="shared" si="8"/>
        <v>#DIV/0!</v>
      </c>
      <c r="Q51" s="171" t="e">
        <f t="shared" si="9"/>
        <v>#DIV/0!</v>
      </c>
    </row>
    <row r="52" spans="1:17" x14ac:dyDescent="0.2">
      <c r="A52" s="143">
        <v>48</v>
      </c>
      <c r="B52" s="260"/>
      <c r="C52" s="168"/>
      <c r="D52" s="168"/>
      <c r="E52" s="168"/>
      <c r="F52" s="167">
        <f t="shared" si="0"/>
        <v>0</v>
      </c>
      <c r="G52" s="42"/>
      <c r="H52" s="169">
        <f t="shared" si="1"/>
        <v>0</v>
      </c>
      <c r="I52" s="169">
        <f t="shared" si="2"/>
        <v>0</v>
      </c>
      <c r="J52" s="13"/>
      <c r="K52" s="170">
        <f t="shared" si="3"/>
        <v>0</v>
      </c>
      <c r="L52" s="170">
        <f t="shared" si="4"/>
        <v>0</v>
      </c>
      <c r="M52" s="170">
        <f t="shared" si="5"/>
        <v>0</v>
      </c>
      <c r="N52" s="170">
        <f t="shared" si="6"/>
        <v>0</v>
      </c>
      <c r="O52" s="171">
        <f t="shared" si="7"/>
        <v>0</v>
      </c>
      <c r="P52" s="171" t="e">
        <f t="shared" si="8"/>
        <v>#DIV/0!</v>
      </c>
      <c r="Q52" s="171" t="e">
        <f t="shared" si="9"/>
        <v>#DIV/0!</v>
      </c>
    </row>
    <row r="53" spans="1:17" x14ac:dyDescent="0.2">
      <c r="A53" s="143">
        <v>49</v>
      </c>
      <c r="B53" s="260"/>
      <c r="C53" s="168"/>
      <c r="D53" s="168"/>
      <c r="E53" s="168"/>
      <c r="F53" s="167">
        <f t="shared" si="0"/>
        <v>0</v>
      </c>
      <c r="G53" s="42"/>
      <c r="H53" s="169">
        <f t="shared" si="1"/>
        <v>0</v>
      </c>
      <c r="I53" s="169">
        <f t="shared" si="2"/>
        <v>0</v>
      </c>
      <c r="J53" s="13"/>
      <c r="K53" s="170">
        <f t="shared" si="3"/>
        <v>0</v>
      </c>
      <c r="L53" s="170">
        <f t="shared" si="4"/>
        <v>0</v>
      </c>
      <c r="M53" s="170">
        <f t="shared" si="5"/>
        <v>0</v>
      </c>
      <c r="N53" s="170">
        <f t="shared" si="6"/>
        <v>0</v>
      </c>
      <c r="O53" s="171">
        <f t="shared" si="7"/>
        <v>0</v>
      </c>
      <c r="P53" s="171" t="e">
        <f t="shared" si="8"/>
        <v>#DIV/0!</v>
      </c>
      <c r="Q53" s="171" t="e">
        <f t="shared" si="9"/>
        <v>#DIV/0!</v>
      </c>
    </row>
    <row r="54" spans="1:17" x14ac:dyDescent="0.2">
      <c r="A54" s="143">
        <v>50</v>
      </c>
      <c r="B54" s="260"/>
      <c r="C54" s="168"/>
      <c r="D54" s="168"/>
      <c r="E54" s="168"/>
      <c r="F54" s="167">
        <f t="shared" si="0"/>
        <v>0</v>
      </c>
      <c r="G54" s="42"/>
      <c r="H54" s="169">
        <f t="shared" si="1"/>
        <v>0</v>
      </c>
      <c r="I54" s="169">
        <f t="shared" si="2"/>
        <v>0</v>
      </c>
      <c r="J54" s="13"/>
      <c r="K54" s="170">
        <f t="shared" si="3"/>
        <v>0</v>
      </c>
      <c r="L54" s="170">
        <f t="shared" si="4"/>
        <v>0</v>
      </c>
      <c r="M54" s="170">
        <f t="shared" si="5"/>
        <v>0</v>
      </c>
      <c r="N54" s="170">
        <f t="shared" si="6"/>
        <v>0</v>
      </c>
      <c r="O54" s="171">
        <f t="shared" si="7"/>
        <v>0</v>
      </c>
      <c r="P54" s="171" t="e">
        <f t="shared" si="8"/>
        <v>#DIV/0!</v>
      </c>
      <c r="Q54" s="171" t="e">
        <f t="shared" si="9"/>
        <v>#DIV/0!</v>
      </c>
    </row>
    <row r="55" spans="1:17" x14ac:dyDescent="0.2">
      <c r="A55" s="143">
        <v>51</v>
      </c>
      <c r="B55" s="260"/>
      <c r="C55" s="168"/>
      <c r="D55" s="168"/>
      <c r="E55" s="168"/>
      <c r="F55" s="167">
        <f t="shared" si="0"/>
        <v>0</v>
      </c>
      <c r="G55" s="42"/>
      <c r="H55" s="169">
        <f t="shared" si="1"/>
        <v>0</v>
      </c>
      <c r="I55" s="169">
        <f t="shared" si="2"/>
        <v>0</v>
      </c>
      <c r="J55" s="13"/>
      <c r="K55" s="170">
        <f t="shared" si="3"/>
        <v>0</v>
      </c>
      <c r="L55" s="170">
        <f t="shared" si="4"/>
        <v>0</v>
      </c>
      <c r="M55" s="170">
        <f t="shared" si="5"/>
        <v>0</v>
      </c>
      <c r="N55" s="170">
        <f t="shared" si="6"/>
        <v>0</v>
      </c>
      <c r="O55" s="171">
        <f t="shared" si="7"/>
        <v>0</v>
      </c>
      <c r="P55" s="171" t="e">
        <f t="shared" si="8"/>
        <v>#DIV/0!</v>
      </c>
      <c r="Q55" s="171" t="e">
        <f t="shared" si="9"/>
        <v>#DIV/0!</v>
      </c>
    </row>
    <row r="56" spans="1:17" x14ac:dyDescent="0.2">
      <c r="A56" s="143">
        <v>52</v>
      </c>
      <c r="B56" s="260"/>
      <c r="C56" s="168"/>
      <c r="D56" s="168"/>
      <c r="E56" s="168"/>
      <c r="F56" s="167">
        <f t="shared" si="0"/>
        <v>0</v>
      </c>
      <c r="G56" s="42"/>
      <c r="H56" s="169">
        <f t="shared" si="1"/>
        <v>0</v>
      </c>
      <c r="I56" s="169">
        <f t="shared" si="2"/>
        <v>0</v>
      </c>
      <c r="J56" s="13"/>
      <c r="K56" s="170">
        <f t="shared" si="3"/>
        <v>0</v>
      </c>
      <c r="L56" s="170">
        <f t="shared" si="4"/>
        <v>0</v>
      </c>
      <c r="M56" s="170">
        <f t="shared" si="5"/>
        <v>0</v>
      </c>
      <c r="N56" s="170">
        <f t="shared" si="6"/>
        <v>0</v>
      </c>
      <c r="O56" s="171">
        <f t="shared" si="7"/>
        <v>0</v>
      </c>
      <c r="P56" s="171" t="e">
        <f t="shared" si="8"/>
        <v>#DIV/0!</v>
      </c>
      <c r="Q56" s="171" t="e">
        <f t="shared" si="9"/>
        <v>#DIV/0!</v>
      </c>
    </row>
    <row r="57" spans="1:17" x14ac:dyDescent="0.2">
      <c r="A57" s="143">
        <v>53</v>
      </c>
      <c r="B57" s="260"/>
      <c r="C57" s="168"/>
      <c r="D57" s="168"/>
      <c r="E57" s="168"/>
      <c r="F57" s="167">
        <f t="shared" si="0"/>
        <v>0</v>
      </c>
      <c r="G57" s="42"/>
      <c r="H57" s="169">
        <f t="shared" si="1"/>
        <v>0</v>
      </c>
      <c r="I57" s="169">
        <f t="shared" si="2"/>
        <v>0</v>
      </c>
      <c r="J57" s="13"/>
      <c r="K57" s="170">
        <f t="shared" si="3"/>
        <v>0</v>
      </c>
      <c r="L57" s="170">
        <f t="shared" si="4"/>
        <v>0</v>
      </c>
      <c r="M57" s="170">
        <f t="shared" si="5"/>
        <v>0</v>
      </c>
      <c r="N57" s="170">
        <f t="shared" si="6"/>
        <v>0</v>
      </c>
      <c r="O57" s="171">
        <f t="shared" si="7"/>
        <v>0</v>
      </c>
      <c r="P57" s="171" t="e">
        <f t="shared" si="8"/>
        <v>#DIV/0!</v>
      </c>
      <c r="Q57" s="171" t="e">
        <f t="shared" si="9"/>
        <v>#DIV/0!</v>
      </c>
    </row>
    <row r="58" spans="1:17" x14ac:dyDescent="0.2">
      <c r="A58" s="143">
        <v>54</v>
      </c>
      <c r="B58" s="260"/>
      <c r="C58" s="168"/>
      <c r="D58" s="168"/>
      <c r="E58" s="168"/>
      <c r="F58" s="167">
        <f t="shared" si="0"/>
        <v>0</v>
      </c>
      <c r="G58" s="42"/>
      <c r="H58" s="169">
        <f t="shared" si="1"/>
        <v>0</v>
      </c>
      <c r="I58" s="169">
        <f t="shared" si="2"/>
        <v>0</v>
      </c>
      <c r="J58" s="13"/>
      <c r="K58" s="170">
        <f t="shared" si="3"/>
        <v>0</v>
      </c>
      <c r="L58" s="170">
        <f t="shared" si="4"/>
        <v>0</v>
      </c>
      <c r="M58" s="170">
        <f t="shared" si="5"/>
        <v>0</v>
      </c>
      <c r="N58" s="170">
        <f t="shared" si="6"/>
        <v>0</v>
      </c>
      <c r="O58" s="171">
        <f t="shared" si="7"/>
        <v>0</v>
      </c>
      <c r="P58" s="171" t="e">
        <f t="shared" si="8"/>
        <v>#DIV/0!</v>
      </c>
      <c r="Q58" s="171" t="e">
        <f t="shared" si="9"/>
        <v>#DIV/0!</v>
      </c>
    </row>
    <row r="59" spans="1:17" x14ac:dyDescent="0.2">
      <c r="A59" s="143">
        <v>55</v>
      </c>
      <c r="B59" s="260"/>
      <c r="C59" s="168"/>
      <c r="D59" s="168"/>
      <c r="E59" s="168"/>
      <c r="F59" s="167">
        <f t="shared" si="0"/>
        <v>0</v>
      </c>
      <c r="G59" s="42"/>
      <c r="H59" s="169">
        <f t="shared" si="1"/>
        <v>0</v>
      </c>
      <c r="I59" s="169">
        <f t="shared" si="2"/>
        <v>0</v>
      </c>
      <c r="J59" s="13"/>
      <c r="K59" s="170">
        <f t="shared" si="3"/>
        <v>0</v>
      </c>
      <c r="L59" s="170">
        <f t="shared" si="4"/>
        <v>0</v>
      </c>
      <c r="M59" s="170">
        <f t="shared" si="5"/>
        <v>0</v>
      </c>
      <c r="N59" s="170">
        <f t="shared" si="6"/>
        <v>0</v>
      </c>
      <c r="O59" s="171">
        <f t="shared" si="7"/>
        <v>0</v>
      </c>
      <c r="P59" s="171" t="e">
        <f t="shared" si="8"/>
        <v>#DIV/0!</v>
      </c>
      <c r="Q59" s="171" t="e">
        <f t="shared" si="9"/>
        <v>#DIV/0!</v>
      </c>
    </row>
    <row r="60" spans="1:17" x14ac:dyDescent="0.2">
      <c r="A60" s="143">
        <v>56</v>
      </c>
      <c r="B60" s="260"/>
      <c r="C60" s="168"/>
      <c r="D60" s="168"/>
      <c r="E60" s="168"/>
      <c r="F60" s="167">
        <f t="shared" si="0"/>
        <v>0</v>
      </c>
      <c r="G60" s="42"/>
      <c r="H60" s="169">
        <f t="shared" si="1"/>
        <v>0</v>
      </c>
      <c r="I60" s="169">
        <f t="shared" si="2"/>
        <v>0</v>
      </c>
      <c r="J60" s="13"/>
      <c r="K60" s="170">
        <f t="shared" si="3"/>
        <v>0</v>
      </c>
      <c r="L60" s="170">
        <f t="shared" si="4"/>
        <v>0</v>
      </c>
      <c r="M60" s="170">
        <f t="shared" si="5"/>
        <v>0</v>
      </c>
      <c r="N60" s="170">
        <f t="shared" si="6"/>
        <v>0</v>
      </c>
      <c r="O60" s="171">
        <f t="shared" si="7"/>
        <v>0</v>
      </c>
      <c r="P60" s="171" t="e">
        <f t="shared" si="8"/>
        <v>#DIV/0!</v>
      </c>
      <c r="Q60" s="171" t="e">
        <f t="shared" si="9"/>
        <v>#DIV/0!</v>
      </c>
    </row>
    <row r="61" spans="1:17" x14ac:dyDescent="0.2">
      <c r="A61" s="143">
        <v>57</v>
      </c>
      <c r="B61" s="260"/>
      <c r="C61" s="168"/>
      <c r="D61" s="168"/>
      <c r="E61" s="168"/>
      <c r="F61" s="167">
        <f t="shared" si="0"/>
        <v>0</v>
      </c>
      <c r="G61" s="42"/>
      <c r="H61" s="169">
        <f t="shared" si="1"/>
        <v>0</v>
      </c>
      <c r="I61" s="169">
        <f t="shared" si="2"/>
        <v>0</v>
      </c>
      <c r="J61" s="13"/>
      <c r="K61" s="170">
        <f t="shared" si="3"/>
        <v>0</v>
      </c>
      <c r="L61" s="170">
        <f t="shared" si="4"/>
        <v>0</v>
      </c>
      <c r="M61" s="170">
        <f t="shared" si="5"/>
        <v>0</v>
      </c>
      <c r="N61" s="170">
        <f t="shared" si="6"/>
        <v>0</v>
      </c>
      <c r="O61" s="171">
        <f t="shared" si="7"/>
        <v>0</v>
      </c>
      <c r="P61" s="171" t="e">
        <f t="shared" si="8"/>
        <v>#DIV/0!</v>
      </c>
      <c r="Q61" s="171" t="e">
        <f t="shared" si="9"/>
        <v>#DIV/0!</v>
      </c>
    </row>
    <row r="62" spans="1:17" x14ac:dyDescent="0.2">
      <c r="A62" s="143">
        <v>58</v>
      </c>
      <c r="B62" s="260"/>
      <c r="C62" s="168"/>
      <c r="D62" s="168"/>
      <c r="E62" s="168"/>
      <c r="F62" s="167">
        <f t="shared" si="0"/>
        <v>0</v>
      </c>
      <c r="G62" s="42"/>
      <c r="H62" s="169">
        <f t="shared" si="1"/>
        <v>0</v>
      </c>
      <c r="I62" s="169">
        <f t="shared" si="2"/>
        <v>0</v>
      </c>
      <c r="J62" s="13"/>
      <c r="K62" s="170">
        <f t="shared" si="3"/>
        <v>0</v>
      </c>
      <c r="L62" s="170">
        <f t="shared" si="4"/>
        <v>0</v>
      </c>
      <c r="M62" s="170">
        <f t="shared" si="5"/>
        <v>0</v>
      </c>
      <c r="N62" s="170">
        <f t="shared" si="6"/>
        <v>0</v>
      </c>
      <c r="O62" s="171">
        <f t="shared" si="7"/>
        <v>0</v>
      </c>
      <c r="P62" s="171" t="e">
        <f t="shared" si="8"/>
        <v>#DIV/0!</v>
      </c>
      <c r="Q62" s="171" t="e">
        <f t="shared" si="9"/>
        <v>#DIV/0!</v>
      </c>
    </row>
    <row r="63" spans="1:17" x14ac:dyDescent="0.2">
      <c r="A63" s="143">
        <v>59</v>
      </c>
      <c r="B63" s="260"/>
      <c r="C63" s="168"/>
      <c r="D63" s="168"/>
      <c r="E63" s="168"/>
      <c r="F63" s="167">
        <f t="shared" si="0"/>
        <v>0</v>
      </c>
      <c r="G63" s="42"/>
      <c r="H63" s="169">
        <f t="shared" si="1"/>
        <v>0</v>
      </c>
      <c r="I63" s="169">
        <f t="shared" si="2"/>
        <v>0</v>
      </c>
      <c r="J63" s="13"/>
      <c r="K63" s="170">
        <f t="shared" si="3"/>
        <v>0</v>
      </c>
      <c r="L63" s="170">
        <f t="shared" si="4"/>
        <v>0</v>
      </c>
      <c r="M63" s="170">
        <f t="shared" si="5"/>
        <v>0</v>
      </c>
      <c r="N63" s="170">
        <f t="shared" si="6"/>
        <v>0</v>
      </c>
      <c r="O63" s="171">
        <f t="shared" si="7"/>
        <v>0</v>
      </c>
      <c r="P63" s="171" t="e">
        <f t="shared" si="8"/>
        <v>#DIV/0!</v>
      </c>
      <c r="Q63" s="171" t="e">
        <f t="shared" si="9"/>
        <v>#DIV/0!</v>
      </c>
    </row>
    <row r="64" spans="1:17" x14ac:dyDescent="0.2">
      <c r="A64" s="143">
        <v>60</v>
      </c>
      <c r="B64" s="260"/>
      <c r="C64" s="168"/>
      <c r="D64" s="168"/>
      <c r="E64" s="168"/>
      <c r="F64" s="167">
        <f t="shared" si="0"/>
        <v>0</v>
      </c>
      <c r="G64" s="42"/>
      <c r="H64" s="169">
        <f t="shared" si="1"/>
        <v>0</v>
      </c>
      <c r="I64" s="169">
        <f t="shared" si="2"/>
        <v>0</v>
      </c>
      <c r="J64" s="13"/>
      <c r="K64" s="170">
        <f t="shared" si="3"/>
        <v>0</v>
      </c>
      <c r="L64" s="170">
        <f t="shared" si="4"/>
        <v>0</v>
      </c>
      <c r="M64" s="170">
        <f t="shared" si="5"/>
        <v>0</v>
      </c>
      <c r="N64" s="170">
        <f t="shared" si="6"/>
        <v>0</v>
      </c>
      <c r="O64" s="171">
        <f t="shared" si="7"/>
        <v>0</v>
      </c>
      <c r="P64" s="171" t="e">
        <f t="shared" si="8"/>
        <v>#DIV/0!</v>
      </c>
      <c r="Q64" s="171" t="e">
        <f t="shared" si="9"/>
        <v>#DIV/0!</v>
      </c>
    </row>
    <row r="65" spans="1:17" x14ac:dyDescent="0.2">
      <c r="A65" s="143">
        <v>61</v>
      </c>
      <c r="B65" s="260"/>
      <c r="C65" s="168"/>
      <c r="D65" s="168"/>
      <c r="E65" s="168"/>
      <c r="F65" s="167">
        <f t="shared" si="0"/>
        <v>0</v>
      </c>
      <c r="G65" s="42"/>
      <c r="H65" s="169">
        <f t="shared" si="1"/>
        <v>0</v>
      </c>
      <c r="I65" s="169">
        <f t="shared" si="2"/>
        <v>0</v>
      </c>
      <c r="J65" s="13"/>
      <c r="K65" s="170">
        <f t="shared" si="3"/>
        <v>0</v>
      </c>
      <c r="L65" s="170">
        <f t="shared" si="4"/>
        <v>0</v>
      </c>
      <c r="M65" s="170">
        <f t="shared" si="5"/>
        <v>0</v>
      </c>
      <c r="N65" s="170">
        <f t="shared" si="6"/>
        <v>0</v>
      </c>
      <c r="O65" s="171">
        <f t="shared" si="7"/>
        <v>0</v>
      </c>
      <c r="P65" s="171" t="e">
        <f t="shared" si="8"/>
        <v>#DIV/0!</v>
      </c>
      <c r="Q65" s="171" t="e">
        <f t="shared" si="9"/>
        <v>#DIV/0!</v>
      </c>
    </row>
    <row r="66" spans="1:17" x14ac:dyDescent="0.2">
      <c r="A66" s="143">
        <v>62</v>
      </c>
      <c r="B66" s="260"/>
      <c r="C66" s="168"/>
      <c r="D66" s="168"/>
      <c r="E66" s="168"/>
      <c r="F66" s="167">
        <f t="shared" si="0"/>
        <v>0</v>
      </c>
      <c r="G66" s="42"/>
      <c r="H66" s="169">
        <f t="shared" si="1"/>
        <v>0</v>
      </c>
      <c r="I66" s="169">
        <f t="shared" si="2"/>
        <v>0</v>
      </c>
      <c r="J66" s="13"/>
      <c r="K66" s="170">
        <f t="shared" si="3"/>
        <v>0</v>
      </c>
      <c r="L66" s="170">
        <f t="shared" si="4"/>
        <v>0</v>
      </c>
      <c r="M66" s="170">
        <f t="shared" si="5"/>
        <v>0</v>
      </c>
      <c r="N66" s="170">
        <f t="shared" si="6"/>
        <v>0</v>
      </c>
      <c r="O66" s="171">
        <f t="shared" si="7"/>
        <v>0</v>
      </c>
      <c r="P66" s="171" t="e">
        <f t="shared" si="8"/>
        <v>#DIV/0!</v>
      </c>
      <c r="Q66" s="171" t="e">
        <f t="shared" si="9"/>
        <v>#DIV/0!</v>
      </c>
    </row>
    <row r="67" spans="1:17" x14ac:dyDescent="0.2">
      <c r="A67" s="143">
        <v>63</v>
      </c>
      <c r="B67" s="260"/>
      <c r="C67" s="168"/>
      <c r="D67" s="168"/>
      <c r="E67" s="168"/>
      <c r="F67" s="167">
        <f t="shared" si="0"/>
        <v>0</v>
      </c>
      <c r="G67" s="42"/>
      <c r="H67" s="169">
        <f t="shared" si="1"/>
        <v>0</v>
      </c>
      <c r="I67" s="169">
        <f t="shared" si="2"/>
        <v>0</v>
      </c>
      <c r="J67" s="13"/>
      <c r="K67" s="170">
        <f t="shared" si="3"/>
        <v>0</v>
      </c>
      <c r="L67" s="170">
        <f t="shared" si="4"/>
        <v>0</v>
      </c>
      <c r="M67" s="170">
        <f t="shared" si="5"/>
        <v>0</v>
      </c>
      <c r="N67" s="170">
        <f t="shared" si="6"/>
        <v>0</v>
      </c>
      <c r="O67" s="171">
        <f t="shared" si="7"/>
        <v>0</v>
      </c>
      <c r="P67" s="171" t="e">
        <f t="shared" si="8"/>
        <v>#DIV/0!</v>
      </c>
      <c r="Q67" s="171" t="e">
        <f t="shared" si="9"/>
        <v>#DIV/0!</v>
      </c>
    </row>
    <row r="68" spans="1:17" x14ac:dyDescent="0.2">
      <c r="A68" s="143">
        <v>64</v>
      </c>
      <c r="B68" s="260"/>
      <c r="C68" s="168"/>
      <c r="D68" s="168"/>
      <c r="E68" s="168"/>
      <c r="F68" s="167">
        <f t="shared" si="0"/>
        <v>0</v>
      </c>
      <c r="G68" s="42"/>
      <c r="H68" s="169">
        <f t="shared" si="1"/>
        <v>0</v>
      </c>
      <c r="I68" s="169">
        <f t="shared" si="2"/>
        <v>0</v>
      </c>
      <c r="J68" s="13"/>
      <c r="K68" s="170">
        <f t="shared" si="3"/>
        <v>0</v>
      </c>
      <c r="L68" s="170">
        <f t="shared" si="4"/>
        <v>0</v>
      </c>
      <c r="M68" s="170">
        <f t="shared" si="5"/>
        <v>0</v>
      </c>
      <c r="N68" s="170">
        <f t="shared" si="6"/>
        <v>0</v>
      </c>
      <c r="O68" s="171">
        <f t="shared" si="7"/>
        <v>0</v>
      </c>
      <c r="P68" s="171" t="e">
        <f t="shared" si="8"/>
        <v>#DIV/0!</v>
      </c>
      <c r="Q68" s="171" t="e">
        <f t="shared" si="9"/>
        <v>#DIV/0!</v>
      </c>
    </row>
    <row r="69" spans="1:17" x14ac:dyDescent="0.2">
      <c r="A69" s="143">
        <v>65</v>
      </c>
      <c r="B69" s="260"/>
      <c r="C69" s="168"/>
      <c r="D69" s="168"/>
      <c r="E69" s="168"/>
      <c r="F69" s="167">
        <f t="shared" ref="F69:F104" si="10">D69+E69</f>
        <v>0</v>
      </c>
      <c r="G69" s="42"/>
      <c r="H69" s="169">
        <f t="shared" ref="H69:H104" si="11">C69*G69+F69</f>
        <v>0</v>
      </c>
      <c r="I69" s="169">
        <f t="shared" ref="I69:I104" si="12">C69-H69</f>
        <v>0</v>
      </c>
      <c r="J69" s="13"/>
      <c r="K69" s="170">
        <f t="shared" ref="K69:K104" si="13">I69*J69</f>
        <v>0</v>
      </c>
      <c r="L69" s="170">
        <f t="shared" ref="L69:L104" si="14">J69*C69</f>
        <v>0</v>
      </c>
      <c r="M69" s="170">
        <f t="shared" ref="M69:M104" si="15">F69*J69</f>
        <v>0</v>
      </c>
      <c r="N69" s="170">
        <f t="shared" ref="N69:N104" si="16">C69*G69*J69</f>
        <v>0</v>
      </c>
      <c r="O69" s="171">
        <f t="shared" si="7"/>
        <v>0</v>
      </c>
      <c r="P69" s="171" t="e">
        <f t="shared" si="8"/>
        <v>#DIV/0!</v>
      </c>
      <c r="Q69" s="171" t="e">
        <f t="shared" ref="Q69:Q104" si="17">O69*P69</f>
        <v>#DIV/0!</v>
      </c>
    </row>
    <row r="70" spans="1:17" x14ac:dyDescent="0.2">
      <c r="A70" s="143">
        <v>66</v>
      </c>
      <c r="B70" s="260"/>
      <c r="C70" s="168"/>
      <c r="D70" s="168"/>
      <c r="E70" s="168"/>
      <c r="F70" s="167">
        <f t="shared" si="10"/>
        <v>0</v>
      </c>
      <c r="G70" s="42"/>
      <c r="H70" s="169">
        <f t="shared" si="11"/>
        <v>0</v>
      </c>
      <c r="I70" s="169">
        <f t="shared" si="12"/>
        <v>0</v>
      </c>
      <c r="J70" s="13"/>
      <c r="K70" s="170">
        <f t="shared" si="13"/>
        <v>0</v>
      </c>
      <c r="L70" s="170">
        <f t="shared" si="14"/>
        <v>0</v>
      </c>
      <c r="M70" s="170">
        <f t="shared" si="15"/>
        <v>0</v>
      </c>
      <c r="N70" s="170">
        <f t="shared" si="16"/>
        <v>0</v>
      </c>
      <c r="O70" s="171">
        <f t="shared" ref="O70:O104" si="18">IF(J70&gt;0,K70/L70,0)</f>
        <v>0</v>
      </c>
      <c r="P70" s="171" t="e">
        <f t="shared" ref="P70:P104" si="19">L70/$L$2</f>
        <v>#DIV/0!</v>
      </c>
      <c r="Q70" s="171" t="e">
        <f t="shared" si="17"/>
        <v>#DIV/0!</v>
      </c>
    </row>
    <row r="71" spans="1:17" x14ac:dyDescent="0.2">
      <c r="A71" s="143">
        <v>67</v>
      </c>
      <c r="B71" s="260"/>
      <c r="C71" s="168"/>
      <c r="D71" s="168"/>
      <c r="E71" s="168"/>
      <c r="F71" s="167">
        <f t="shared" si="10"/>
        <v>0</v>
      </c>
      <c r="G71" s="42"/>
      <c r="H71" s="169">
        <f t="shared" si="11"/>
        <v>0</v>
      </c>
      <c r="I71" s="169">
        <f t="shared" si="12"/>
        <v>0</v>
      </c>
      <c r="J71" s="13"/>
      <c r="K71" s="170">
        <f t="shared" si="13"/>
        <v>0</v>
      </c>
      <c r="L71" s="170">
        <f t="shared" si="14"/>
        <v>0</v>
      </c>
      <c r="M71" s="170">
        <f t="shared" si="15"/>
        <v>0</v>
      </c>
      <c r="N71" s="170">
        <f t="shared" si="16"/>
        <v>0</v>
      </c>
      <c r="O71" s="171">
        <f t="shared" si="18"/>
        <v>0</v>
      </c>
      <c r="P71" s="171" t="e">
        <f t="shared" si="19"/>
        <v>#DIV/0!</v>
      </c>
      <c r="Q71" s="171" t="e">
        <f t="shared" si="17"/>
        <v>#DIV/0!</v>
      </c>
    </row>
    <row r="72" spans="1:17" x14ac:dyDescent="0.2">
      <c r="A72" s="143">
        <v>68</v>
      </c>
      <c r="B72" s="260"/>
      <c r="C72" s="168"/>
      <c r="D72" s="168"/>
      <c r="E72" s="168"/>
      <c r="F72" s="167">
        <f t="shared" si="10"/>
        <v>0</v>
      </c>
      <c r="G72" s="42"/>
      <c r="H72" s="169">
        <f t="shared" si="11"/>
        <v>0</v>
      </c>
      <c r="I72" s="169">
        <f t="shared" si="12"/>
        <v>0</v>
      </c>
      <c r="J72" s="13"/>
      <c r="K72" s="170">
        <f t="shared" si="13"/>
        <v>0</v>
      </c>
      <c r="L72" s="170">
        <f t="shared" si="14"/>
        <v>0</v>
      </c>
      <c r="M72" s="170">
        <f t="shared" si="15"/>
        <v>0</v>
      </c>
      <c r="N72" s="170">
        <f t="shared" si="16"/>
        <v>0</v>
      </c>
      <c r="O72" s="171">
        <f t="shared" si="18"/>
        <v>0</v>
      </c>
      <c r="P72" s="171" t="e">
        <f t="shared" si="19"/>
        <v>#DIV/0!</v>
      </c>
      <c r="Q72" s="171" t="e">
        <f t="shared" si="17"/>
        <v>#DIV/0!</v>
      </c>
    </row>
    <row r="73" spans="1:17" x14ac:dyDescent="0.2">
      <c r="A73" s="143">
        <v>69</v>
      </c>
      <c r="B73" s="260"/>
      <c r="C73" s="168"/>
      <c r="D73" s="168"/>
      <c r="E73" s="168"/>
      <c r="F73" s="167">
        <f t="shared" si="10"/>
        <v>0</v>
      </c>
      <c r="G73" s="42"/>
      <c r="H73" s="169">
        <f t="shared" si="11"/>
        <v>0</v>
      </c>
      <c r="I73" s="169">
        <f t="shared" si="12"/>
        <v>0</v>
      </c>
      <c r="J73" s="13"/>
      <c r="K73" s="170">
        <f t="shared" si="13"/>
        <v>0</v>
      </c>
      <c r="L73" s="170">
        <f t="shared" si="14"/>
        <v>0</v>
      </c>
      <c r="M73" s="170">
        <f t="shared" si="15"/>
        <v>0</v>
      </c>
      <c r="N73" s="170">
        <f t="shared" si="16"/>
        <v>0</v>
      </c>
      <c r="O73" s="171">
        <f t="shared" si="18"/>
        <v>0</v>
      </c>
      <c r="P73" s="171" t="e">
        <f t="shared" si="19"/>
        <v>#DIV/0!</v>
      </c>
      <c r="Q73" s="171" t="e">
        <f t="shared" si="17"/>
        <v>#DIV/0!</v>
      </c>
    </row>
    <row r="74" spans="1:17" x14ac:dyDescent="0.2">
      <c r="A74" s="143">
        <v>70</v>
      </c>
      <c r="B74" s="260"/>
      <c r="C74" s="168"/>
      <c r="D74" s="168"/>
      <c r="E74" s="168"/>
      <c r="F74" s="167">
        <f t="shared" si="10"/>
        <v>0</v>
      </c>
      <c r="G74" s="42"/>
      <c r="H74" s="169">
        <f t="shared" si="11"/>
        <v>0</v>
      </c>
      <c r="I74" s="169">
        <f t="shared" si="12"/>
        <v>0</v>
      </c>
      <c r="J74" s="13"/>
      <c r="K74" s="170">
        <f t="shared" si="13"/>
        <v>0</v>
      </c>
      <c r="L74" s="170">
        <f t="shared" si="14"/>
        <v>0</v>
      </c>
      <c r="M74" s="170">
        <f t="shared" si="15"/>
        <v>0</v>
      </c>
      <c r="N74" s="170">
        <f t="shared" si="16"/>
        <v>0</v>
      </c>
      <c r="O74" s="171">
        <f t="shared" si="18"/>
        <v>0</v>
      </c>
      <c r="P74" s="171" t="e">
        <f t="shared" si="19"/>
        <v>#DIV/0!</v>
      </c>
      <c r="Q74" s="171" t="e">
        <f t="shared" si="17"/>
        <v>#DIV/0!</v>
      </c>
    </row>
    <row r="75" spans="1:17" x14ac:dyDescent="0.2">
      <c r="A75" s="143">
        <v>71</v>
      </c>
      <c r="B75" s="260"/>
      <c r="C75" s="168"/>
      <c r="D75" s="168"/>
      <c r="E75" s="168"/>
      <c r="F75" s="167">
        <f t="shared" si="10"/>
        <v>0</v>
      </c>
      <c r="G75" s="42"/>
      <c r="H75" s="169">
        <f t="shared" si="11"/>
        <v>0</v>
      </c>
      <c r="I75" s="169">
        <f t="shared" si="12"/>
        <v>0</v>
      </c>
      <c r="J75" s="13"/>
      <c r="K75" s="170">
        <f t="shared" si="13"/>
        <v>0</v>
      </c>
      <c r="L75" s="170">
        <f t="shared" si="14"/>
        <v>0</v>
      </c>
      <c r="M75" s="170">
        <f t="shared" si="15"/>
        <v>0</v>
      </c>
      <c r="N75" s="170">
        <f t="shared" si="16"/>
        <v>0</v>
      </c>
      <c r="O75" s="171">
        <f t="shared" si="18"/>
        <v>0</v>
      </c>
      <c r="P75" s="171" t="e">
        <f t="shared" si="19"/>
        <v>#DIV/0!</v>
      </c>
      <c r="Q75" s="171" t="e">
        <f t="shared" si="17"/>
        <v>#DIV/0!</v>
      </c>
    </row>
    <row r="76" spans="1:17" x14ac:dyDescent="0.2">
      <c r="A76" s="143">
        <v>72</v>
      </c>
      <c r="B76" s="260"/>
      <c r="C76" s="168"/>
      <c r="D76" s="168"/>
      <c r="E76" s="168"/>
      <c r="F76" s="167">
        <f t="shared" si="10"/>
        <v>0</v>
      </c>
      <c r="G76" s="42"/>
      <c r="H76" s="169">
        <f t="shared" si="11"/>
        <v>0</v>
      </c>
      <c r="I76" s="169">
        <f t="shared" si="12"/>
        <v>0</v>
      </c>
      <c r="J76" s="13"/>
      <c r="K76" s="170">
        <f t="shared" si="13"/>
        <v>0</v>
      </c>
      <c r="L76" s="170">
        <f t="shared" si="14"/>
        <v>0</v>
      </c>
      <c r="M76" s="170">
        <f t="shared" si="15"/>
        <v>0</v>
      </c>
      <c r="N76" s="170">
        <f t="shared" si="16"/>
        <v>0</v>
      </c>
      <c r="O76" s="171">
        <f t="shared" si="18"/>
        <v>0</v>
      </c>
      <c r="P76" s="171" t="e">
        <f t="shared" si="19"/>
        <v>#DIV/0!</v>
      </c>
      <c r="Q76" s="171" t="e">
        <f t="shared" si="17"/>
        <v>#DIV/0!</v>
      </c>
    </row>
    <row r="77" spans="1:17" x14ac:dyDescent="0.2">
      <c r="A77" s="143">
        <v>73</v>
      </c>
      <c r="B77" s="260"/>
      <c r="C77" s="168"/>
      <c r="D77" s="168"/>
      <c r="E77" s="168"/>
      <c r="F77" s="167">
        <f t="shared" si="10"/>
        <v>0</v>
      </c>
      <c r="G77" s="42"/>
      <c r="H77" s="169">
        <f t="shared" si="11"/>
        <v>0</v>
      </c>
      <c r="I77" s="169">
        <f t="shared" si="12"/>
        <v>0</v>
      </c>
      <c r="J77" s="13"/>
      <c r="K77" s="170">
        <f t="shared" si="13"/>
        <v>0</v>
      </c>
      <c r="L77" s="170">
        <f t="shared" si="14"/>
        <v>0</v>
      </c>
      <c r="M77" s="170">
        <f t="shared" si="15"/>
        <v>0</v>
      </c>
      <c r="N77" s="170">
        <f t="shared" si="16"/>
        <v>0</v>
      </c>
      <c r="O77" s="171">
        <f t="shared" si="18"/>
        <v>0</v>
      </c>
      <c r="P77" s="171" t="e">
        <f t="shared" si="19"/>
        <v>#DIV/0!</v>
      </c>
      <c r="Q77" s="171" t="e">
        <f t="shared" si="17"/>
        <v>#DIV/0!</v>
      </c>
    </row>
    <row r="78" spans="1:17" x14ac:dyDescent="0.2">
      <c r="A78" s="143">
        <v>74</v>
      </c>
      <c r="B78" s="260"/>
      <c r="C78" s="168"/>
      <c r="D78" s="168"/>
      <c r="E78" s="168"/>
      <c r="F78" s="167">
        <f t="shared" si="10"/>
        <v>0</v>
      </c>
      <c r="G78" s="42"/>
      <c r="H78" s="169">
        <f t="shared" si="11"/>
        <v>0</v>
      </c>
      <c r="I78" s="169">
        <f t="shared" si="12"/>
        <v>0</v>
      </c>
      <c r="J78" s="13"/>
      <c r="K78" s="170">
        <f t="shared" si="13"/>
        <v>0</v>
      </c>
      <c r="L78" s="170">
        <f t="shared" si="14"/>
        <v>0</v>
      </c>
      <c r="M78" s="170">
        <f t="shared" si="15"/>
        <v>0</v>
      </c>
      <c r="N78" s="170">
        <f t="shared" si="16"/>
        <v>0</v>
      </c>
      <c r="O78" s="171">
        <f t="shared" si="18"/>
        <v>0</v>
      </c>
      <c r="P78" s="171" t="e">
        <f t="shared" si="19"/>
        <v>#DIV/0!</v>
      </c>
      <c r="Q78" s="171" t="e">
        <f t="shared" si="17"/>
        <v>#DIV/0!</v>
      </c>
    </row>
    <row r="79" spans="1:17" x14ac:dyDescent="0.2">
      <c r="A79" s="143">
        <v>75</v>
      </c>
      <c r="B79" s="260"/>
      <c r="C79" s="168"/>
      <c r="D79" s="168"/>
      <c r="E79" s="168"/>
      <c r="F79" s="167">
        <f t="shared" si="10"/>
        <v>0</v>
      </c>
      <c r="G79" s="42"/>
      <c r="H79" s="169">
        <f t="shared" si="11"/>
        <v>0</v>
      </c>
      <c r="I79" s="169">
        <f t="shared" si="12"/>
        <v>0</v>
      </c>
      <c r="J79" s="13"/>
      <c r="K79" s="170">
        <f t="shared" si="13"/>
        <v>0</v>
      </c>
      <c r="L79" s="170">
        <f t="shared" si="14"/>
        <v>0</v>
      </c>
      <c r="M79" s="170">
        <f t="shared" si="15"/>
        <v>0</v>
      </c>
      <c r="N79" s="170">
        <f t="shared" si="16"/>
        <v>0</v>
      </c>
      <c r="O79" s="171">
        <f t="shared" si="18"/>
        <v>0</v>
      </c>
      <c r="P79" s="171" t="e">
        <f t="shared" si="19"/>
        <v>#DIV/0!</v>
      </c>
      <c r="Q79" s="171" t="e">
        <f t="shared" si="17"/>
        <v>#DIV/0!</v>
      </c>
    </row>
    <row r="80" spans="1:17" x14ac:dyDescent="0.2">
      <c r="A80" s="143">
        <v>76</v>
      </c>
      <c r="B80" s="260"/>
      <c r="C80" s="168"/>
      <c r="D80" s="168"/>
      <c r="E80" s="168"/>
      <c r="F80" s="167">
        <f t="shared" si="10"/>
        <v>0</v>
      </c>
      <c r="G80" s="42"/>
      <c r="H80" s="169">
        <f t="shared" si="11"/>
        <v>0</v>
      </c>
      <c r="I80" s="169">
        <f t="shared" si="12"/>
        <v>0</v>
      </c>
      <c r="J80" s="13"/>
      <c r="K80" s="170">
        <f t="shared" si="13"/>
        <v>0</v>
      </c>
      <c r="L80" s="170">
        <f t="shared" si="14"/>
        <v>0</v>
      </c>
      <c r="M80" s="170">
        <f t="shared" si="15"/>
        <v>0</v>
      </c>
      <c r="N80" s="170">
        <f t="shared" si="16"/>
        <v>0</v>
      </c>
      <c r="O80" s="171">
        <f t="shared" si="18"/>
        <v>0</v>
      </c>
      <c r="P80" s="171" t="e">
        <f t="shared" si="19"/>
        <v>#DIV/0!</v>
      </c>
      <c r="Q80" s="171" t="e">
        <f t="shared" si="17"/>
        <v>#DIV/0!</v>
      </c>
    </row>
    <row r="81" spans="1:17" x14ac:dyDescent="0.2">
      <c r="A81" s="143">
        <v>77</v>
      </c>
      <c r="B81" s="260"/>
      <c r="C81" s="168"/>
      <c r="D81" s="168"/>
      <c r="E81" s="168"/>
      <c r="F81" s="167">
        <f t="shared" si="10"/>
        <v>0</v>
      </c>
      <c r="G81" s="42"/>
      <c r="H81" s="169">
        <f t="shared" si="11"/>
        <v>0</v>
      </c>
      <c r="I81" s="169">
        <f t="shared" si="12"/>
        <v>0</v>
      </c>
      <c r="J81" s="13"/>
      <c r="K81" s="170">
        <f t="shared" si="13"/>
        <v>0</v>
      </c>
      <c r="L81" s="170">
        <f t="shared" si="14"/>
        <v>0</v>
      </c>
      <c r="M81" s="170">
        <f t="shared" si="15"/>
        <v>0</v>
      </c>
      <c r="N81" s="170">
        <f t="shared" si="16"/>
        <v>0</v>
      </c>
      <c r="O81" s="171">
        <f t="shared" si="18"/>
        <v>0</v>
      </c>
      <c r="P81" s="171" t="e">
        <f t="shared" si="19"/>
        <v>#DIV/0!</v>
      </c>
      <c r="Q81" s="171" t="e">
        <f t="shared" si="17"/>
        <v>#DIV/0!</v>
      </c>
    </row>
    <row r="82" spans="1:17" x14ac:dyDescent="0.2">
      <c r="A82" s="143">
        <v>78</v>
      </c>
      <c r="B82" s="260"/>
      <c r="C82" s="168"/>
      <c r="D82" s="168"/>
      <c r="E82" s="168"/>
      <c r="F82" s="167">
        <f t="shared" si="10"/>
        <v>0</v>
      </c>
      <c r="G82" s="42"/>
      <c r="H82" s="169">
        <f t="shared" si="11"/>
        <v>0</v>
      </c>
      <c r="I82" s="169">
        <f t="shared" si="12"/>
        <v>0</v>
      </c>
      <c r="J82" s="13"/>
      <c r="K82" s="170">
        <f t="shared" si="13"/>
        <v>0</v>
      </c>
      <c r="L82" s="170">
        <f t="shared" si="14"/>
        <v>0</v>
      </c>
      <c r="M82" s="170">
        <f t="shared" si="15"/>
        <v>0</v>
      </c>
      <c r="N82" s="170">
        <f t="shared" si="16"/>
        <v>0</v>
      </c>
      <c r="O82" s="171">
        <f t="shared" si="18"/>
        <v>0</v>
      </c>
      <c r="P82" s="171" t="e">
        <f t="shared" si="19"/>
        <v>#DIV/0!</v>
      </c>
      <c r="Q82" s="171" t="e">
        <f t="shared" si="17"/>
        <v>#DIV/0!</v>
      </c>
    </row>
    <row r="83" spans="1:17" x14ac:dyDescent="0.2">
      <c r="A83" s="143">
        <v>79</v>
      </c>
      <c r="B83" s="260"/>
      <c r="C83" s="168"/>
      <c r="D83" s="168"/>
      <c r="E83" s="168"/>
      <c r="F83" s="167">
        <f t="shared" si="10"/>
        <v>0</v>
      </c>
      <c r="G83" s="42"/>
      <c r="H83" s="169">
        <f t="shared" si="11"/>
        <v>0</v>
      </c>
      <c r="I83" s="169">
        <f t="shared" si="12"/>
        <v>0</v>
      </c>
      <c r="J83" s="13"/>
      <c r="K83" s="170">
        <f t="shared" si="13"/>
        <v>0</v>
      </c>
      <c r="L83" s="170">
        <f t="shared" si="14"/>
        <v>0</v>
      </c>
      <c r="M83" s="170">
        <f t="shared" si="15"/>
        <v>0</v>
      </c>
      <c r="N83" s="170">
        <f t="shared" si="16"/>
        <v>0</v>
      </c>
      <c r="O83" s="171">
        <f t="shared" si="18"/>
        <v>0</v>
      </c>
      <c r="P83" s="171" t="e">
        <f t="shared" si="19"/>
        <v>#DIV/0!</v>
      </c>
      <c r="Q83" s="171" t="e">
        <f t="shared" si="17"/>
        <v>#DIV/0!</v>
      </c>
    </row>
    <row r="84" spans="1:17" x14ac:dyDescent="0.2">
      <c r="A84" s="143">
        <v>80</v>
      </c>
      <c r="B84" s="260"/>
      <c r="C84" s="168"/>
      <c r="D84" s="168"/>
      <c r="E84" s="168"/>
      <c r="F84" s="167">
        <f t="shared" si="10"/>
        <v>0</v>
      </c>
      <c r="G84" s="42"/>
      <c r="H84" s="169">
        <f t="shared" si="11"/>
        <v>0</v>
      </c>
      <c r="I84" s="169">
        <f t="shared" si="12"/>
        <v>0</v>
      </c>
      <c r="J84" s="13"/>
      <c r="K84" s="170">
        <f t="shared" si="13"/>
        <v>0</v>
      </c>
      <c r="L84" s="170">
        <f t="shared" si="14"/>
        <v>0</v>
      </c>
      <c r="M84" s="170">
        <f t="shared" si="15"/>
        <v>0</v>
      </c>
      <c r="N84" s="170">
        <f t="shared" si="16"/>
        <v>0</v>
      </c>
      <c r="O84" s="171">
        <f t="shared" si="18"/>
        <v>0</v>
      </c>
      <c r="P84" s="171" t="e">
        <f t="shared" si="19"/>
        <v>#DIV/0!</v>
      </c>
      <c r="Q84" s="171" t="e">
        <f t="shared" si="17"/>
        <v>#DIV/0!</v>
      </c>
    </row>
    <row r="85" spans="1:17" x14ac:dyDescent="0.2">
      <c r="A85" s="143">
        <v>81</v>
      </c>
      <c r="B85" s="260"/>
      <c r="C85" s="168"/>
      <c r="D85" s="168"/>
      <c r="E85" s="168"/>
      <c r="F85" s="167">
        <f t="shared" si="10"/>
        <v>0</v>
      </c>
      <c r="G85" s="42"/>
      <c r="H85" s="169">
        <f t="shared" si="11"/>
        <v>0</v>
      </c>
      <c r="I85" s="169">
        <f t="shared" si="12"/>
        <v>0</v>
      </c>
      <c r="J85" s="13"/>
      <c r="K85" s="170">
        <f t="shared" si="13"/>
        <v>0</v>
      </c>
      <c r="L85" s="170">
        <f t="shared" si="14"/>
        <v>0</v>
      </c>
      <c r="M85" s="170">
        <f t="shared" si="15"/>
        <v>0</v>
      </c>
      <c r="N85" s="170">
        <f t="shared" si="16"/>
        <v>0</v>
      </c>
      <c r="O85" s="171">
        <f t="shared" si="18"/>
        <v>0</v>
      </c>
      <c r="P85" s="171" t="e">
        <f t="shared" si="19"/>
        <v>#DIV/0!</v>
      </c>
      <c r="Q85" s="171" t="e">
        <f t="shared" si="17"/>
        <v>#DIV/0!</v>
      </c>
    </row>
    <row r="86" spans="1:17" x14ac:dyDescent="0.2">
      <c r="A86" s="143">
        <v>82</v>
      </c>
      <c r="B86" s="260"/>
      <c r="C86" s="168"/>
      <c r="D86" s="168"/>
      <c r="E86" s="168"/>
      <c r="F86" s="167">
        <f t="shared" si="10"/>
        <v>0</v>
      </c>
      <c r="G86" s="42"/>
      <c r="H86" s="169">
        <f t="shared" si="11"/>
        <v>0</v>
      </c>
      <c r="I86" s="169">
        <f t="shared" si="12"/>
        <v>0</v>
      </c>
      <c r="J86" s="13"/>
      <c r="K86" s="170">
        <f t="shared" si="13"/>
        <v>0</v>
      </c>
      <c r="L86" s="170">
        <f t="shared" si="14"/>
        <v>0</v>
      </c>
      <c r="M86" s="170">
        <f t="shared" si="15"/>
        <v>0</v>
      </c>
      <c r="N86" s="170">
        <f t="shared" si="16"/>
        <v>0</v>
      </c>
      <c r="O86" s="171">
        <f t="shared" si="18"/>
        <v>0</v>
      </c>
      <c r="P86" s="171" t="e">
        <f t="shared" si="19"/>
        <v>#DIV/0!</v>
      </c>
      <c r="Q86" s="171" t="e">
        <f t="shared" si="17"/>
        <v>#DIV/0!</v>
      </c>
    </row>
    <row r="87" spans="1:17" x14ac:dyDescent="0.2">
      <c r="A87" s="143">
        <v>83</v>
      </c>
      <c r="B87" s="260"/>
      <c r="C87" s="168"/>
      <c r="D87" s="168"/>
      <c r="E87" s="168"/>
      <c r="F87" s="167">
        <f t="shared" si="10"/>
        <v>0</v>
      </c>
      <c r="G87" s="42"/>
      <c r="H87" s="169">
        <f t="shared" si="11"/>
        <v>0</v>
      </c>
      <c r="I87" s="169">
        <f t="shared" si="12"/>
        <v>0</v>
      </c>
      <c r="J87" s="13"/>
      <c r="K87" s="170">
        <f t="shared" si="13"/>
        <v>0</v>
      </c>
      <c r="L87" s="170">
        <f t="shared" si="14"/>
        <v>0</v>
      </c>
      <c r="M87" s="170">
        <f t="shared" si="15"/>
        <v>0</v>
      </c>
      <c r="N87" s="170">
        <f t="shared" si="16"/>
        <v>0</v>
      </c>
      <c r="O87" s="171">
        <f t="shared" si="18"/>
        <v>0</v>
      </c>
      <c r="P87" s="171" t="e">
        <f t="shared" si="19"/>
        <v>#DIV/0!</v>
      </c>
      <c r="Q87" s="171" t="e">
        <f t="shared" si="17"/>
        <v>#DIV/0!</v>
      </c>
    </row>
    <row r="88" spans="1:17" x14ac:dyDescent="0.2">
      <c r="A88" s="143">
        <v>84</v>
      </c>
      <c r="B88" s="260"/>
      <c r="C88" s="168"/>
      <c r="D88" s="168"/>
      <c r="E88" s="168"/>
      <c r="F88" s="167">
        <f t="shared" si="10"/>
        <v>0</v>
      </c>
      <c r="G88" s="42"/>
      <c r="H88" s="169">
        <f t="shared" si="11"/>
        <v>0</v>
      </c>
      <c r="I88" s="169">
        <f t="shared" si="12"/>
        <v>0</v>
      </c>
      <c r="J88" s="13"/>
      <c r="K88" s="170">
        <f t="shared" si="13"/>
        <v>0</v>
      </c>
      <c r="L88" s="170">
        <f t="shared" si="14"/>
        <v>0</v>
      </c>
      <c r="M88" s="170">
        <f t="shared" si="15"/>
        <v>0</v>
      </c>
      <c r="N88" s="170">
        <f t="shared" si="16"/>
        <v>0</v>
      </c>
      <c r="O88" s="171">
        <f t="shared" si="18"/>
        <v>0</v>
      </c>
      <c r="P88" s="171" t="e">
        <f t="shared" si="19"/>
        <v>#DIV/0!</v>
      </c>
      <c r="Q88" s="171" t="e">
        <f t="shared" si="17"/>
        <v>#DIV/0!</v>
      </c>
    </row>
    <row r="89" spans="1:17" x14ac:dyDescent="0.2">
      <c r="A89" s="143">
        <v>85</v>
      </c>
      <c r="B89" s="260"/>
      <c r="C89" s="168"/>
      <c r="D89" s="168"/>
      <c r="E89" s="168"/>
      <c r="F89" s="167">
        <f t="shared" si="10"/>
        <v>0</v>
      </c>
      <c r="G89" s="42"/>
      <c r="H89" s="169">
        <f t="shared" si="11"/>
        <v>0</v>
      </c>
      <c r="I89" s="169">
        <f t="shared" si="12"/>
        <v>0</v>
      </c>
      <c r="J89" s="13"/>
      <c r="K89" s="170">
        <f t="shared" si="13"/>
        <v>0</v>
      </c>
      <c r="L89" s="170">
        <f t="shared" si="14"/>
        <v>0</v>
      </c>
      <c r="M89" s="170">
        <f t="shared" si="15"/>
        <v>0</v>
      </c>
      <c r="N89" s="170">
        <f t="shared" si="16"/>
        <v>0</v>
      </c>
      <c r="O89" s="171">
        <f t="shared" si="18"/>
        <v>0</v>
      </c>
      <c r="P89" s="171" t="e">
        <f t="shared" si="19"/>
        <v>#DIV/0!</v>
      </c>
      <c r="Q89" s="171" t="e">
        <f t="shared" si="17"/>
        <v>#DIV/0!</v>
      </c>
    </row>
    <row r="90" spans="1:17" x14ac:dyDescent="0.2">
      <c r="A90" s="143">
        <v>86</v>
      </c>
      <c r="B90" s="260"/>
      <c r="C90" s="168"/>
      <c r="D90" s="168"/>
      <c r="E90" s="168"/>
      <c r="F90" s="167">
        <f t="shared" si="10"/>
        <v>0</v>
      </c>
      <c r="G90" s="42"/>
      <c r="H90" s="169">
        <f t="shared" si="11"/>
        <v>0</v>
      </c>
      <c r="I90" s="169">
        <f t="shared" si="12"/>
        <v>0</v>
      </c>
      <c r="J90" s="13"/>
      <c r="K90" s="170">
        <f t="shared" si="13"/>
        <v>0</v>
      </c>
      <c r="L90" s="170">
        <f t="shared" si="14"/>
        <v>0</v>
      </c>
      <c r="M90" s="170">
        <f t="shared" si="15"/>
        <v>0</v>
      </c>
      <c r="N90" s="170">
        <f t="shared" si="16"/>
        <v>0</v>
      </c>
      <c r="O90" s="171">
        <f t="shared" si="18"/>
        <v>0</v>
      </c>
      <c r="P90" s="171" t="e">
        <f t="shared" si="19"/>
        <v>#DIV/0!</v>
      </c>
      <c r="Q90" s="171" t="e">
        <f t="shared" si="17"/>
        <v>#DIV/0!</v>
      </c>
    </row>
    <row r="91" spans="1:17" x14ac:dyDescent="0.2">
      <c r="A91" s="143">
        <v>87</v>
      </c>
      <c r="B91" s="260"/>
      <c r="C91" s="168"/>
      <c r="D91" s="168"/>
      <c r="E91" s="168"/>
      <c r="F91" s="167">
        <f t="shared" si="10"/>
        <v>0</v>
      </c>
      <c r="G91" s="42"/>
      <c r="H91" s="169">
        <f t="shared" si="11"/>
        <v>0</v>
      </c>
      <c r="I91" s="169">
        <f t="shared" si="12"/>
        <v>0</v>
      </c>
      <c r="J91" s="13"/>
      <c r="K91" s="170">
        <f t="shared" si="13"/>
        <v>0</v>
      </c>
      <c r="L91" s="170">
        <f t="shared" si="14"/>
        <v>0</v>
      </c>
      <c r="M91" s="170">
        <f t="shared" si="15"/>
        <v>0</v>
      </c>
      <c r="N91" s="170">
        <f t="shared" si="16"/>
        <v>0</v>
      </c>
      <c r="O91" s="171">
        <f t="shared" si="18"/>
        <v>0</v>
      </c>
      <c r="P91" s="171" t="e">
        <f t="shared" si="19"/>
        <v>#DIV/0!</v>
      </c>
      <c r="Q91" s="171" t="e">
        <f t="shared" si="17"/>
        <v>#DIV/0!</v>
      </c>
    </row>
    <row r="92" spans="1:17" x14ac:dyDescent="0.2">
      <c r="A92" s="143">
        <v>88</v>
      </c>
      <c r="B92" s="260"/>
      <c r="C92" s="168"/>
      <c r="D92" s="168"/>
      <c r="E92" s="168"/>
      <c r="F92" s="167">
        <f t="shared" si="10"/>
        <v>0</v>
      </c>
      <c r="G92" s="42"/>
      <c r="H92" s="169">
        <f t="shared" si="11"/>
        <v>0</v>
      </c>
      <c r="I92" s="169">
        <f t="shared" si="12"/>
        <v>0</v>
      </c>
      <c r="J92" s="13"/>
      <c r="K92" s="170">
        <f t="shared" si="13"/>
        <v>0</v>
      </c>
      <c r="L92" s="170">
        <f t="shared" si="14"/>
        <v>0</v>
      </c>
      <c r="M92" s="170">
        <f t="shared" si="15"/>
        <v>0</v>
      </c>
      <c r="N92" s="170">
        <f t="shared" si="16"/>
        <v>0</v>
      </c>
      <c r="O92" s="171">
        <f t="shared" si="18"/>
        <v>0</v>
      </c>
      <c r="P92" s="171" t="e">
        <f t="shared" si="19"/>
        <v>#DIV/0!</v>
      </c>
      <c r="Q92" s="171" t="e">
        <f t="shared" si="17"/>
        <v>#DIV/0!</v>
      </c>
    </row>
    <row r="93" spans="1:17" x14ac:dyDescent="0.2">
      <c r="A93" s="143">
        <v>89</v>
      </c>
      <c r="B93" s="260"/>
      <c r="C93" s="168"/>
      <c r="D93" s="168"/>
      <c r="E93" s="168"/>
      <c r="F93" s="167">
        <f t="shared" si="10"/>
        <v>0</v>
      </c>
      <c r="G93" s="42"/>
      <c r="H93" s="169">
        <f t="shared" si="11"/>
        <v>0</v>
      </c>
      <c r="I93" s="169">
        <f t="shared" si="12"/>
        <v>0</v>
      </c>
      <c r="J93" s="13"/>
      <c r="K93" s="170">
        <f t="shared" si="13"/>
        <v>0</v>
      </c>
      <c r="L93" s="170">
        <f t="shared" si="14"/>
        <v>0</v>
      </c>
      <c r="M93" s="170">
        <f t="shared" si="15"/>
        <v>0</v>
      </c>
      <c r="N93" s="170">
        <f t="shared" si="16"/>
        <v>0</v>
      </c>
      <c r="O93" s="171">
        <f t="shared" si="18"/>
        <v>0</v>
      </c>
      <c r="P93" s="171" t="e">
        <f t="shared" si="19"/>
        <v>#DIV/0!</v>
      </c>
      <c r="Q93" s="171" t="e">
        <f t="shared" si="17"/>
        <v>#DIV/0!</v>
      </c>
    </row>
    <row r="94" spans="1:17" x14ac:dyDescent="0.2">
      <c r="A94" s="143">
        <v>90</v>
      </c>
      <c r="B94" s="260"/>
      <c r="C94" s="168"/>
      <c r="D94" s="168"/>
      <c r="E94" s="168"/>
      <c r="F94" s="167">
        <f t="shared" si="10"/>
        <v>0</v>
      </c>
      <c r="G94" s="42"/>
      <c r="H94" s="169">
        <f t="shared" si="11"/>
        <v>0</v>
      </c>
      <c r="I94" s="169">
        <f t="shared" si="12"/>
        <v>0</v>
      </c>
      <c r="J94" s="13"/>
      <c r="K94" s="170">
        <f t="shared" si="13"/>
        <v>0</v>
      </c>
      <c r="L94" s="170">
        <f t="shared" si="14"/>
        <v>0</v>
      </c>
      <c r="M94" s="170">
        <f t="shared" si="15"/>
        <v>0</v>
      </c>
      <c r="N94" s="170">
        <f t="shared" si="16"/>
        <v>0</v>
      </c>
      <c r="O94" s="171">
        <f t="shared" si="18"/>
        <v>0</v>
      </c>
      <c r="P94" s="171" t="e">
        <f t="shared" si="19"/>
        <v>#DIV/0!</v>
      </c>
      <c r="Q94" s="171" t="e">
        <f t="shared" si="17"/>
        <v>#DIV/0!</v>
      </c>
    </row>
    <row r="95" spans="1:17" x14ac:dyDescent="0.2">
      <c r="A95" s="143">
        <v>91</v>
      </c>
      <c r="B95" s="260"/>
      <c r="C95" s="168"/>
      <c r="D95" s="168"/>
      <c r="E95" s="168"/>
      <c r="F95" s="167">
        <f t="shared" si="10"/>
        <v>0</v>
      </c>
      <c r="G95" s="42"/>
      <c r="H95" s="169">
        <f t="shared" si="11"/>
        <v>0</v>
      </c>
      <c r="I95" s="169">
        <f t="shared" si="12"/>
        <v>0</v>
      </c>
      <c r="J95" s="13"/>
      <c r="K95" s="170">
        <f t="shared" si="13"/>
        <v>0</v>
      </c>
      <c r="L95" s="170">
        <f t="shared" si="14"/>
        <v>0</v>
      </c>
      <c r="M95" s="170">
        <f t="shared" si="15"/>
        <v>0</v>
      </c>
      <c r="N95" s="170">
        <f t="shared" si="16"/>
        <v>0</v>
      </c>
      <c r="O95" s="171">
        <f t="shared" si="18"/>
        <v>0</v>
      </c>
      <c r="P95" s="171" t="e">
        <f t="shared" si="19"/>
        <v>#DIV/0!</v>
      </c>
      <c r="Q95" s="171" t="e">
        <f t="shared" si="17"/>
        <v>#DIV/0!</v>
      </c>
    </row>
    <row r="96" spans="1:17" x14ac:dyDescent="0.2">
      <c r="A96" s="143">
        <v>92</v>
      </c>
      <c r="B96" s="260"/>
      <c r="C96" s="168"/>
      <c r="D96" s="168"/>
      <c r="E96" s="168"/>
      <c r="F96" s="167">
        <f t="shared" si="10"/>
        <v>0</v>
      </c>
      <c r="G96" s="42"/>
      <c r="H96" s="169">
        <f t="shared" si="11"/>
        <v>0</v>
      </c>
      <c r="I96" s="169">
        <f t="shared" si="12"/>
        <v>0</v>
      </c>
      <c r="J96" s="13"/>
      <c r="K96" s="170">
        <f t="shared" si="13"/>
        <v>0</v>
      </c>
      <c r="L96" s="170">
        <f t="shared" si="14"/>
        <v>0</v>
      </c>
      <c r="M96" s="170">
        <f t="shared" si="15"/>
        <v>0</v>
      </c>
      <c r="N96" s="170">
        <f t="shared" si="16"/>
        <v>0</v>
      </c>
      <c r="O96" s="171">
        <f t="shared" si="18"/>
        <v>0</v>
      </c>
      <c r="P96" s="171" t="e">
        <f t="shared" si="19"/>
        <v>#DIV/0!</v>
      </c>
      <c r="Q96" s="171" t="e">
        <f t="shared" si="17"/>
        <v>#DIV/0!</v>
      </c>
    </row>
    <row r="97" spans="1:17" x14ac:dyDescent="0.2">
      <c r="A97" s="143">
        <v>93</v>
      </c>
      <c r="B97" s="260"/>
      <c r="C97" s="168"/>
      <c r="D97" s="168"/>
      <c r="E97" s="168"/>
      <c r="F97" s="167">
        <f t="shared" si="10"/>
        <v>0</v>
      </c>
      <c r="G97" s="42"/>
      <c r="H97" s="169">
        <f t="shared" si="11"/>
        <v>0</v>
      </c>
      <c r="I97" s="169">
        <f t="shared" si="12"/>
        <v>0</v>
      </c>
      <c r="J97" s="13"/>
      <c r="K97" s="170">
        <f t="shared" si="13"/>
        <v>0</v>
      </c>
      <c r="L97" s="170">
        <f t="shared" si="14"/>
        <v>0</v>
      </c>
      <c r="M97" s="170">
        <f t="shared" si="15"/>
        <v>0</v>
      </c>
      <c r="N97" s="170">
        <f t="shared" si="16"/>
        <v>0</v>
      </c>
      <c r="O97" s="171">
        <f t="shared" si="18"/>
        <v>0</v>
      </c>
      <c r="P97" s="171" t="e">
        <f t="shared" si="19"/>
        <v>#DIV/0!</v>
      </c>
      <c r="Q97" s="171" t="e">
        <f t="shared" si="17"/>
        <v>#DIV/0!</v>
      </c>
    </row>
    <row r="98" spans="1:17" x14ac:dyDescent="0.2">
      <c r="A98" s="143">
        <v>94</v>
      </c>
      <c r="B98" s="260"/>
      <c r="C98" s="168"/>
      <c r="D98" s="168"/>
      <c r="E98" s="168"/>
      <c r="F98" s="167">
        <f t="shared" si="10"/>
        <v>0</v>
      </c>
      <c r="G98" s="42"/>
      <c r="H98" s="169">
        <f t="shared" si="11"/>
        <v>0</v>
      </c>
      <c r="I98" s="169">
        <f t="shared" si="12"/>
        <v>0</v>
      </c>
      <c r="J98" s="13"/>
      <c r="K98" s="170">
        <f t="shared" si="13"/>
        <v>0</v>
      </c>
      <c r="L98" s="170">
        <f t="shared" si="14"/>
        <v>0</v>
      </c>
      <c r="M98" s="170">
        <f t="shared" si="15"/>
        <v>0</v>
      </c>
      <c r="N98" s="170">
        <f t="shared" si="16"/>
        <v>0</v>
      </c>
      <c r="O98" s="171">
        <f t="shared" si="18"/>
        <v>0</v>
      </c>
      <c r="P98" s="171" t="e">
        <f t="shared" si="19"/>
        <v>#DIV/0!</v>
      </c>
      <c r="Q98" s="171" t="e">
        <f t="shared" si="17"/>
        <v>#DIV/0!</v>
      </c>
    </row>
    <row r="99" spans="1:17" x14ac:dyDescent="0.2">
      <c r="A99" s="143">
        <v>95</v>
      </c>
      <c r="B99" s="260"/>
      <c r="C99" s="168"/>
      <c r="D99" s="168"/>
      <c r="E99" s="168"/>
      <c r="F99" s="167">
        <f t="shared" si="10"/>
        <v>0</v>
      </c>
      <c r="G99" s="42"/>
      <c r="H99" s="169">
        <f t="shared" si="11"/>
        <v>0</v>
      </c>
      <c r="I99" s="169">
        <f t="shared" si="12"/>
        <v>0</v>
      </c>
      <c r="J99" s="13"/>
      <c r="K99" s="170">
        <f t="shared" si="13"/>
        <v>0</v>
      </c>
      <c r="L99" s="170">
        <f t="shared" si="14"/>
        <v>0</v>
      </c>
      <c r="M99" s="170">
        <f t="shared" si="15"/>
        <v>0</v>
      </c>
      <c r="N99" s="170">
        <f t="shared" si="16"/>
        <v>0</v>
      </c>
      <c r="O99" s="171">
        <f t="shared" si="18"/>
        <v>0</v>
      </c>
      <c r="P99" s="171" t="e">
        <f t="shared" si="19"/>
        <v>#DIV/0!</v>
      </c>
      <c r="Q99" s="171" t="e">
        <f t="shared" si="17"/>
        <v>#DIV/0!</v>
      </c>
    </row>
    <row r="100" spans="1:17" x14ac:dyDescent="0.2">
      <c r="A100" s="143">
        <v>96</v>
      </c>
      <c r="B100" s="260"/>
      <c r="C100" s="168"/>
      <c r="D100" s="168"/>
      <c r="E100" s="168"/>
      <c r="F100" s="167">
        <f t="shared" si="10"/>
        <v>0</v>
      </c>
      <c r="G100" s="42"/>
      <c r="H100" s="169">
        <f t="shared" si="11"/>
        <v>0</v>
      </c>
      <c r="I100" s="169">
        <f t="shared" si="12"/>
        <v>0</v>
      </c>
      <c r="J100" s="13"/>
      <c r="K100" s="170">
        <f t="shared" si="13"/>
        <v>0</v>
      </c>
      <c r="L100" s="170">
        <f t="shared" si="14"/>
        <v>0</v>
      </c>
      <c r="M100" s="170">
        <f t="shared" si="15"/>
        <v>0</v>
      </c>
      <c r="N100" s="170">
        <f t="shared" si="16"/>
        <v>0</v>
      </c>
      <c r="O100" s="171">
        <f t="shared" si="18"/>
        <v>0</v>
      </c>
      <c r="P100" s="171" t="e">
        <f t="shared" si="19"/>
        <v>#DIV/0!</v>
      </c>
      <c r="Q100" s="171" t="e">
        <f t="shared" si="17"/>
        <v>#DIV/0!</v>
      </c>
    </row>
    <row r="101" spans="1:17" x14ac:dyDescent="0.2">
      <c r="A101" s="143">
        <v>97</v>
      </c>
      <c r="B101" s="260"/>
      <c r="C101" s="168"/>
      <c r="D101" s="168"/>
      <c r="E101" s="168"/>
      <c r="F101" s="167">
        <f t="shared" si="10"/>
        <v>0</v>
      </c>
      <c r="G101" s="42"/>
      <c r="H101" s="169">
        <f t="shared" si="11"/>
        <v>0</v>
      </c>
      <c r="I101" s="169">
        <f t="shared" si="12"/>
        <v>0</v>
      </c>
      <c r="J101" s="13"/>
      <c r="K101" s="170">
        <f t="shared" si="13"/>
        <v>0</v>
      </c>
      <c r="L101" s="170">
        <f t="shared" si="14"/>
        <v>0</v>
      </c>
      <c r="M101" s="170">
        <f t="shared" si="15"/>
        <v>0</v>
      </c>
      <c r="N101" s="170">
        <f t="shared" si="16"/>
        <v>0</v>
      </c>
      <c r="O101" s="171">
        <f t="shared" si="18"/>
        <v>0</v>
      </c>
      <c r="P101" s="171" t="e">
        <f t="shared" si="19"/>
        <v>#DIV/0!</v>
      </c>
      <c r="Q101" s="171" t="e">
        <f t="shared" si="17"/>
        <v>#DIV/0!</v>
      </c>
    </row>
    <row r="102" spans="1:17" x14ac:dyDescent="0.2">
      <c r="A102" s="143">
        <v>98</v>
      </c>
      <c r="B102" s="260"/>
      <c r="C102" s="168"/>
      <c r="D102" s="168"/>
      <c r="E102" s="168"/>
      <c r="F102" s="167">
        <f t="shared" si="10"/>
        <v>0</v>
      </c>
      <c r="G102" s="42"/>
      <c r="H102" s="169">
        <f t="shared" si="11"/>
        <v>0</v>
      </c>
      <c r="I102" s="169">
        <f t="shared" si="12"/>
        <v>0</v>
      </c>
      <c r="J102" s="13"/>
      <c r="K102" s="170">
        <f t="shared" si="13"/>
        <v>0</v>
      </c>
      <c r="L102" s="170">
        <f t="shared" si="14"/>
        <v>0</v>
      </c>
      <c r="M102" s="170">
        <f t="shared" si="15"/>
        <v>0</v>
      </c>
      <c r="N102" s="170">
        <f t="shared" si="16"/>
        <v>0</v>
      </c>
      <c r="O102" s="171">
        <f t="shared" si="18"/>
        <v>0</v>
      </c>
      <c r="P102" s="171" t="e">
        <f t="shared" si="19"/>
        <v>#DIV/0!</v>
      </c>
      <c r="Q102" s="171" t="e">
        <f t="shared" si="17"/>
        <v>#DIV/0!</v>
      </c>
    </row>
    <row r="103" spans="1:17" x14ac:dyDescent="0.2">
      <c r="A103" s="143">
        <v>99</v>
      </c>
      <c r="B103" s="260"/>
      <c r="C103" s="168"/>
      <c r="D103" s="168"/>
      <c r="E103" s="168"/>
      <c r="F103" s="167">
        <f t="shared" si="10"/>
        <v>0</v>
      </c>
      <c r="G103" s="42"/>
      <c r="H103" s="169">
        <f t="shared" si="11"/>
        <v>0</v>
      </c>
      <c r="I103" s="169">
        <f t="shared" si="12"/>
        <v>0</v>
      </c>
      <c r="J103" s="13"/>
      <c r="K103" s="170">
        <f t="shared" si="13"/>
        <v>0</v>
      </c>
      <c r="L103" s="170">
        <f t="shared" si="14"/>
        <v>0</v>
      </c>
      <c r="M103" s="170">
        <f t="shared" si="15"/>
        <v>0</v>
      </c>
      <c r="N103" s="170">
        <f t="shared" si="16"/>
        <v>0</v>
      </c>
      <c r="O103" s="171">
        <f t="shared" si="18"/>
        <v>0</v>
      </c>
      <c r="P103" s="171" t="e">
        <f t="shared" si="19"/>
        <v>#DIV/0!</v>
      </c>
      <c r="Q103" s="171" t="e">
        <f t="shared" si="17"/>
        <v>#DIV/0!</v>
      </c>
    </row>
    <row r="104" spans="1:17" x14ac:dyDescent="0.2">
      <c r="A104" s="143">
        <v>100</v>
      </c>
      <c r="B104" s="260"/>
      <c r="C104" s="168"/>
      <c r="D104" s="168"/>
      <c r="E104" s="168"/>
      <c r="F104" s="167">
        <f t="shared" si="10"/>
        <v>0</v>
      </c>
      <c r="G104" s="42"/>
      <c r="H104" s="169">
        <f t="shared" si="11"/>
        <v>0</v>
      </c>
      <c r="I104" s="169">
        <f t="shared" si="12"/>
        <v>0</v>
      </c>
      <c r="J104" s="13"/>
      <c r="K104" s="170">
        <f t="shared" si="13"/>
        <v>0</v>
      </c>
      <c r="L104" s="170">
        <f t="shared" si="14"/>
        <v>0</v>
      </c>
      <c r="M104" s="170">
        <f t="shared" si="15"/>
        <v>0</v>
      </c>
      <c r="N104" s="170">
        <f t="shared" si="16"/>
        <v>0</v>
      </c>
      <c r="O104" s="171">
        <f t="shared" si="18"/>
        <v>0</v>
      </c>
      <c r="P104" s="171" t="e">
        <f t="shared" si="19"/>
        <v>#DIV/0!</v>
      </c>
      <c r="Q104" s="171" t="e">
        <f t="shared" si="17"/>
        <v>#DIV/0!</v>
      </c>
    </row>
  </sheetData>
  <sheetProtection sheet="1"/>
  <phoneticPr fontId="0" type="noConversion"/>
  <dataValidations count="1">
    <dataValidation type="list" allowBlank="1" showInputMessage="1" showErrorMessage="1" sqref="C1" xr:uid="{00000000-0002-0000-0200-000000000000}">
      <formula1>$T$1:$T$3</formula1>
    </dataValidation>
  </dataValidations>
  <pageMargins left="0.62992125984251968" right="0.62992125984251968" top="0.98425196850393704" bottom="0.98425196850393704" header="0.51181102362204722" footer="0.51181102362204722"/>
  <pageSetup paperSize="9"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60" r:id="rId4" name="Button 12">
              <controlPr defaultSize="0" print="0" autoFill="0" autoPict="0" macro="[0]!VOLTARPAGINAINICIAL">
                <anchor moveWithCells="1" sizeWithCells="1">
                  <from>
                    <xdr:col>3</xdr:col>
                    <xdr:colOff>771525</xdr:colOff>
                    <xdr:row>0</xdr:row>
                    <xdr:rowOff>0</xdr:rowOff>
                  </from>
                  <to>
                    <xdr:col>5</xdr:col>
                    <xdr:colOff>190500</xdr:colOff>
                    <xdr:row>2</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149"/>
  <sheetViews>
    <sheetView zoomScale="166" zoomScaleNormal="166" workbookViewId="0">
      <selection activeCell="B24" sqref="B24"/>
    </sheetView>
  </sheetViews>
  <sheetFormatPr defaultRowHeight="12.75" x14ac:dyDescent="0.2"/>
  <cols>
    <col min="1" max="1" width="32" customWidth="1"/>
    <col min="2" max="2" width="23.140625" customWidth="1"/>
    <col min="3" max="3" width="19.28515625" bestFit="1" customWidth="1"/>
    <col min="4" max="4" width="17.42578125" bestFit="1" customWidth="1"/>
    <col min="5" max="5" width="9.42578125" bestFit="1" customWidth="1"/>
    <col min="6" max="6" width="11.85546875" bestFit="1" customWidth="1"/>
  </cols>
  <sheetData>
    <row r="1" spans="1:4" ht="13.5" thickBot="1" x14ac:dyDescent="0.25">
      <c r="A1" s="11" t="s">
        <v>6</v>
      </c>
      <c r="B1" s="41">
        <v>45078</v>
      </c>
    </row>
    <row r="2" spans="1:4" x14ac:dyDescent="0.2">
      <c r="B2" s="10" t="s">
        <v>11</v>
      </c>
      <c r="C2" s="183">
        <f>LISTA!L2</f>
        <v>0</v>
      </c>
      <c r="D2" s="61" t="e">
        <f>C2/$C$2</f>
        <v>#DIV/0!</v>
      </c>
    </row>
    <row r="3" spans="1:4" x14ac:dyDescent="0.2">
      <c r="B3" s="10" t="s">
        <v>12</v>
      </c>
      <c r="C3" s="170">
        <f>LISTA!M2</f>
        <v>0</v>
      </c>
      <c r="D3" s="61" t="e">
        <f>C3/$C$2</f>
        <v>#DIV/0!</v>
      </c>
    </row>
    <row r="4" spans="1:4" x14ac:dyDescent="0.2">
      <c r="B4" s="10" t="s">
        <v>13</v>
      </c>
      <c r="C4" s="170">
        <f>LISTA!N2</f>
        <v>0</v>
      </c>
      <c r="D4" s="61" t="e">
        <f>C4/$C$2</f>
        <v>#DIV/0!</v>
      </c>
    </row>
    <row r="5" spans="1:4" x14ac:dyDescent="0.2">
      <c r="B5" s="11" t="s">
        <v>14</v>
      </c>
      <c r="C5" s="169">
        <f>C2-C3-C4</f>
        <v>0</v>
      </c>
      <c r="D5" s="61" t="e">
        <f>C5/$C$2</f>
        <v>#DIV/0!</v>
      </c>
    </row>
    <row r="6" spans="1:4" x14ac:dyDescent="0.2">
      <c r="B6" s="11" t="s">
        <v>57</v>
      </c>
      <c r="C6" s="169">
        <f>SUM(B7:B25)</f>
        <v>12900</v>
      </c>
      <c r="D6" s="61" t="e">
        <f>C6/$C$2</f>
        <v>#DIV/0!</v>
      </c>
    </row>
    <row r="7" spans="1:4" x14ac:dyDescent="0.2">
      <c r="A7" s="12" t="s">
        <v>116</v>
      </c>
      <c r="B7" s="168">
        <v>1000</v>
      </c>
      <c r="C7" s="20">
        <f>B7/$C$6</f>
        <v>7.7519379844961239E-2</v>
      </c>
      <c r="D7" s="18"/>
    </row>
    <row r="8" spans="1:4" x14ac:dyDescent="0.2">
      <c r="A8" s="12" t="s">
        <v>117</v>
      </c>
      <c r="B8" s="168">
        <v>1000</v>
      </c>
      <c r="C8" s="20">
        <f t="shared" ref="C8:C14" si="0">B8/$C$6</f>
        <v>7.7519379844961239E-2</v>
      </c>
      <c r="D8" s="18"/>
    </row>
    <row r="9" spans="1:4" x14ac:dyDescent="0.2">
      <c r="A9" s="12" t="s">
        <v>118</v>
      </c>
      <c r="B9" s="168">
        <v>1000</v>
      </c>
      <c r="C9" s="20">
        <f t="shared" si="0"/>
        <v>7.7519379844961239E-2</v>
      </c>
      <c r="D9" s="18"/>
    </row>
    <row r="10" spans="1:4" x14ac:dyDescent="0.2">
      <c r="A10" s="12" t="s">
        <v>119</v>
      </c>
      <c r="B10" s="168">
        <v>1000</v>
      </c>
      <c r="C10" s="20">
        <f t="shared" si="0"/>
        <v>7.7519379844961239E-2</v>
      </c>
      <c r="D10" s="18"/>
    </row>
    <row r="11" spans="1:4" x14ac:dyDescent="0.2">
      <c r="A11" s="12" t="s">
        <v>120</v>
      </c>
      <c r="B11" s="168">
        <v>2000</v>
      </c>
      <c r="C11" s="20">
        <f t="shared" si="0"/>
        <v>0.15503875968992248</v>
      </c>
      <c r="D11" s="18"/>
    </row>
    <row r="12" spans="1:4" x14ac:dyDescent="0.2">
      <c r="A12" s="12" t="s">
        <v>121</v>
      </c>
      <c r="B12" s="168">
        <v>1000</v>
      </c>
      <c r="C12" s="20">
        <f t="shared" si="0"/>
        <v>7.7519379844961239E-2</v>
      </c>
      <c r="D12" s="18"/>
    </row>
    <row r="13" spans="1:4" x14ac:dyDescent="0.2">
      <c r="A13" s="12" t="s">
        <v>130</v>
      </c>
      <c r="B13" s="168">
        <v>4000</v>
      </c>
      <c r="C13" s="20">
        <f t="shared" si="0"/>
        <v>0.31007751937984496</v>
      </c>
      <c r="D13" s="18"/>
    </row>
    <row r="14" spans="1:4" x14ac:dyDescent="0.2">
      <c r="A14" s="12" t="s">
        <v>168</v>
      </c>
      <c r="B14" s="168">
        <v>500</v>
      </c>
      <c r="C14" s="20">
        <f t="shared" si="0"/>
        <v>3.875968992248062E-2</v>
      </c>
      <c r="D14" s="18"/>
    </row>
    <row r="15" spans="1:4" x14ac:dyDescent="0.2">
      <c r="A15" s="12"/>
      <c r="B15" s="168"/>
      <c r="C15" s="20">
        <f t="shared" ref="C15:C23" si="1">B15/$C$6</f>
        <v>0</v>
      </c>
      <c r="D15" s="18"/>
    </row>
    <row r="16" spans="1:4" x14ac:dyDescent="0.2">
      <c r="A16" s="12"/>
      <c r="B16" s="168"/>
      <c r="C16" s="20">
        <f t="shared" si="1"/>
        <v>0</v>
      </c>
      <c r="D16" s="18"/>
    </row>
    <row r="17" spans="1:4" x14ac:dyDescent="0.2">
      <c r="A17" s="12"/>
      <c r="B17" s="168"/>
      <c r="C17" s="20">
        <f t="shared" si="1"/>
        <v>0</v>
      </c>
      <c r="D17" s="18"/>
    </row>
    <row r="18" spans="1:4" x14ac:dyDescent="0.2">
      <c r="A18" s="12"/>
      <c r="B18" s="168"/>
      <c r="C18" s="20">
        <f t="shared" si="1"/>
        <v>0</v>
      </c>
      <c r="D18" s="18"/>
    </row>
    <row r="19" spans="1:4" x14ac:dyDescent="0.2">
      <c r="A19" s="12"/>
      <c r="B19" s="168"/>
      <c r="C19" s="20">
        <f t="shared" si="1"/>
        <v>0</v>
      </c>
      <c r="D19" s="18"/>
    </row>
    <row r="20" spans="1:4" x14ac:dyDescent="0.2">
      <c r="A20" s="12"/>
      <c r="B20" s="168"/>
      <c r="C20" s="20">
        <f t="shared" si="1"/>
        <v>0</v>
      </c>
      <c r="D20" s="18"/>
    </row>
    <row r="21" spans="1:4" x14ac:dyDescent="0.2">
      <c r="A21" s="12"/>
      <c r="B21" s="168"/>
      <c r="C21" s="20">
        <f t="shared" si="1"/>
        <v>0</v>
      </c>
      <c r="D21" s="18"/>
    </row>
    <row r="22" spans="1:4" x14ac:dyDescent="0.2">
      <c r="A22" s="12"/>
      <c r="B22" s="168"/>
      <c r="C22" s="20">
        <f t="shared" si="1"/>
        <v>0</v>
      </c>
      <c r="D22" s="18"/>
    </row>
    <row r="23" spans="1:4" x14ac:dyDescent="0.2">
      <c r="A23" s="29" t="s">
        <v>20</v>
      </c>
      <c r="B23" s="168">
        <v>1000</v>
      </c>
      <c r="C23" s="22">
        <f t="shared" si="1"/>
        <v>7.7519379844961239E-2</v>
      </c>
      <c r="D23" s="18"/>
    </row>
    <row r="24" spans="1:4" x14ac:dyDescent="0.2">
      <c r="A24" s="59" t="s">
        <v>62</v>
      </c>
      <c r="B24" s="60"/>
      <c r="C24" s="184">
        <f>C5-C6+B25</f>
        <v>-12500</v>
      </c>
      <c r="D24" s="18"/>
    </row>
    <row r="25" spans="1:4" x14ac:dyDescent="0.2">
      <c r="A25" s="49" t="s">
        <v>23</v>
      </c>
      <c r="B25" s="168">
        <v>400</v>
      </c>
      <c r="C25" s="21">
        <f>SUM(C7:C23)</f>
        <v>0.96899224806201545</v>
      </c>
      <c r="D25" s="18"/>
    </row>
    <row r="26" spans="1:4" x14ac:dyDescent="0.2">
      <c r="B26" s="19" t="s">
        <v>18</v>
      </c>
      <c r="C26" s="169">
        <f>C24-B25</f>
        <v>-12900</v>
      </c>
      <c r="D26" s="17" t="e">
        <f>C26/$C$2</f>
        <v>#DIV/0!</v>
      </c>
    </row>
    <row r="27" spans="1:4" ht="13.5" thickBot="1" x14ac:dyDescent="0.25">
      <c r="B27" s="11" t="s">
        <v>58</v>
      </c>
      <c r="C27" s="185">
        <v>0</v>
      </c>
      <c r="D27" s="26" t="e">
        <f>C27/$C$2</f>
        <v>#DIV/0!</v>
      </c>
    </row>
    <row r="28" spans="1:4" ht="13.5" thickBot="1" x14ac:dyDescent="0.25">
      <c r="B28" s="27" t="s">
        <v>19</v>
      </c>
      <c r="C28" s="186">
        <f>C26-C27</f>
        <v>-12900</v>
      </c>
      <c r="D28" s="28" t="e">
        <f>C28/$C$2</f>
        <v>#DIV/0!</v>
      </c>
    </row>
    <row r="44" spans="2:4" x14ac:dyDescent="0.2">
      <c r="B44" s="1"/>
      <c r="C44" s="44"/>
      <c r="D44" s="40"/>
    </row>
    <row r="149" spans="1:1" x14ac:dyDescent="0.2">
      <c r="A149" t="s">
        <v>7</v>
      </c>
    </row>
  </sheetData>
  <sheetProtection sheet="1" objects="1" scenarios="1"/>
  <phoneticPr fontId="0" type="noConversion"/>
  <pageMargins left="0.74803149606299213" right="0.74803149606299213" top="0.98425196850393704" bottom="0.98425196850393704" header="0.51181102362204722" footer="0.51181102362204722"/>
  <pageSetup paperSize="9"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TORNARDEDREPARAPAGINAINICIAL">
                <anchor moveWithCells="1" sizeWithCells="1">
                  <from>
                    <xdr:col>5</xdr:col>
                    <xdr:colOff>314325</xdr:colOff>
                    <xdr:row>2</xdr:row>
                    <xdr:rowOff>123825</xdr:rowOff>
                  </from>
                  <to>
                    <xdr:col>7</xdr:col>
                    <xdr:colOff>28575</xdr:colOff>
                    <xdr:row>6</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F589"/>
  <sheetViews>
    <sheetView zoomScale="130" zoomScaleNormal="166" workbookViewId="0">
      <selection activeCell="B9" sqref="B9"/>
    </sheetView>
  </sheetViews>
  <sheetFormatPr defaultRowHeight="12.75" x14ac:dyDescent="0.2"/>
  <cols>
    <col min="1" max="1" width="45.42578125" customWidth="1"/>
    <col min="2" max="2" width="16.42578125" customWidth="1"/>
    <col min="3" max="3" width="22.140625" customWidth="1"/>
    <col min="4" max="4" width="20.28515625" bestFit="1" customWidth="1"/>
    <col min="5" max="5" width="20.5703125" customWidth="1"/>
    <col min="6" max="6" width="12" customWidth="1"/>
  </cols>
  <sheetData>
    <row r="1" spans="1:6" ht="17.25" thickBot="1" x14ac:dyDescent="0.3">
      <c r="A1" s="199" t="s">
        <v>72</v>
      </c>
      <c r="B1" s="200" t="str">
        <f>#N/A</f>
        <v>REAL</v>
      </c>
      <c r="C1" s="192">
        <f>DRE!C2</f>
        <v>0</v>
      </c>
      <c r="D1" s="93">
        <v>1</v>
      </c>
    </row>
    <row r="2" spans="1:6" ht="13.5" thickBot="1" x14ac:dyDescent="0.25">
      <c r="B2" s="10"/>
    </row>
    <row r="3" spans="1:6" ht="13.5" thickBot="1" x14ac:dyDescent="0.25">
      <c r="A3" s="71"/>
      <c r="B3" s="72"/>
      <c r="C3" s="78"/>
      <c r="D3" s="79"/>
      <c r="E3" s="72"/>
      <c r="F3" s="80"/>
    </row>
    <row r="4" spans="1:6" ht="16.5" thickBot="1" x14ac:dyDescent="0.3">
      <c r="A4" s="77" t="s">
        <v>122</v>
      </c>
      <c r="B4" s="74"/>
      <c r="C4" s="192" t="e">
        <f>DRE!C6/DRE!D5</f>
        <v>#DIV/0!</v>
      </c>
      <c r="D4" s="92" t="e">
        <f>C4/C1</f>
        <v>#DIV/0!</v>
      </c>
      <c r="E4" s="71" t="s">
        <v>21</v>
      </c>
      <c r="F4" s="80"/>
    </row>
    <row r="5" spans="1:6" ht="13.5" thickBot="1" x14ac:dyDescent="0.25">
      <c r="A5" s="75"/>
      <c r="B5" s="76"/>
      <c r="C5" s="76"/>
      <c r="D5" s="81" t="e">
        <f>1-D4</f>
        <v>#DIV/0!</v>
      </c>
      <c r="E5" s="75" t="s">
        <v>71</v>
      </c>
      <c r="F5" s="83"/>
    </row>
    <row r="6" spans="1:6" ht="13.5" thickBot="1" x14ac:dyDescent="0.25"/>
    <row r="7" spans="1:6" ht="13.5" thickBot="1" x14ac:dyDescent="0.25">
      <c r="A7" s="84" t="s">
        <v>25</v>
      </c>
      <c r="B7" s="187">
        <f>#N/A</f>
        <v>0</v>
      </c>
      <c r="C7" s="78"/>
      <c r="D7" s="72"/>
      <c r="E7" s="72"/>
      <c r="F7" s="80"/>
    </row>
    <row r="8" spans="1:6" ht="13.5" thickBot="1" x14ac:dyDescent="0.25">
      <c r="A8" s="85" t="s">
        <v>24</v>
      </c>
      <c r="B8" s="105">
        <v>2000</v>
      </c>
      <c r="C8" s="86"/>
      <c r="D8" s="74"/>
      <c r="E8" s="74"/>
      <c r="F8" s="82"/>
    </row>
    <row r="9" spans="1:6" ht="16.5" thickBot="1" x14ac:dyDescent="0.3">
      <c r="A9" s="87" t="s">
        <v>123</v>
      </c>
      <c r="B9" s="74"/>
      <c r="C9" s="192" t="e">
        <f>(DRE!C6+'BREAK EVEN POINTS'!B8-'BREAK EVEN POINTS'!B7)/DRE!D5</f>
        <v>#DIV/0!</v>
      </c>
      <c r="D9" s="81" t="e">
        <f>C9/C1</f>
        <v>#DIV/0!</v>
      </c>
      <c r="E9" s="74" t="s">
        <v>21</v>
      </c>
      <c r="F9" s="82"/>
    </row>
    <row r="10" spans="1:6" ht="13.5" thickBot="1" x14ac:dyDescent="0.25">
      <c r="A10" s="75"/>
      <c r="B10" s="76"/>
      <c r="C10" s="76"/>
      <c r="D10" s="81" t="e">
        <f>1-D9</f>
        <v>#DIV/0!</v>
      </c>
      <c r="E10" s="75" t="s">
        <v>71</v>
      </c>
      <c r="F10" s="83"/>
    </row>
    <row r="11" spans="1:6" ht="13.5" thickBot="1" x14ac:dyDescent="0.25"/>
    <row r="12" spans="1:6" ht="13.5" thickBot="1" x14ac:dyDescent="0.25">
      <c r="A12" s="71"/>
      <c r="B12" s="72"/>
      <c r="C12" s="72"/>
      <c r="D12" s="72"/>
      <c r="E12" s="204">
        <f>B13*D13</f>
        <v>5000</v>
      </c>
      <c r="F12" s="88" t="s">
        <v>45</v>
      </c>
    </row>
    <row r="13" spans="1:6" ht="13.5" thickBot="1" x14ac:dyDescent="0.25">
      <c r="A13" s="85" t="s">
        <v>26</v>
      </c>
      <c r="B13" s="197">
        <v>500000</v>
      </c>
      <c r="C13" s="86" t="s">
        <v>27</v>
      </c>
      <c r="D13" s="43">
        <v>0.01</v>
      </c>
      <c r="E13" s="89" t="s">
        <v>28</v>
      </c>
      <c r="F13" s="90"/>
    </row>
    <row r="14" spans="1:6" ht="13.5" thickBot="1" x14ac:dyDescent="0.25">
      <c r="A14" s="91"/>
      <c r="B14" s="74"/>
      <c r="C14" s="74"/>
      <c r="D14" s="74"/>
      <c r="E14" s="74"/>
      <c r="F14" s="82"/>
    </row>
    <row r="15" spans="1:6" ht="16.5" thickBot="1" x14ac:dyDescent="0.3">
      <c r="A15" s="77" t="s">
        <v>124</v>
      </c>
      <c r="B15" s="74"/>
      <c r="C15" s="192" t="e">
        <f>(DRE!C6+'BREAK EVEN POINTS'!E12)/DRE!D5</f>
        <v>#DIV/0!</v>
      </c>
      <c r="D15" s="81" t="e">
        <f>C15/C1</f>
        <v>#DIV/0!</v>
      </c>
      <c r="E15" s="74" t="s">
        <v>21</v>
      </c>
      <c r="F15" s="82"/>
    </row>
    <row r="16" spans="1:6" ht="13.5" thickBot="1" x14ac:dyDescent="0.25">
      <c r="A16" s="75"/>
      <c r="B16" s="76"/>
      <c r="C16" s="76"/>
      <c r="D16" s="81" t="e">
        <f>1-D15</f>
        <v>#DIV/0!</v>
      </c>
      <c r="E16" s="75" t="s">
        <v>71</v>
      </c>
      <c r="F16" s="83"/>
    </row>
    <row r="17" spans="1:6" ht="13.5" thickBot="1" x14ac:dyDescent="0.25"/>
    <row r="18" spans="1:6" ht="13.5" thickBot="1" x14ac:dyDescent="0.25">
      <c r="B18" s="50" t="s">
        <v>73</v>
      </c>
      <c r="C18" s="51"/>
      <c r="D18" s="52"/>
    </row>
    <row r="19" spans="1:6" ht="13.5" thickBot="1" x14ac:dyDescent="0.25">
      <c r="B19" s="53" t="e">
        <f>D5</f>
        <v>#DIV/0!</v>
      </c>
      <c r="C19" s="54" t="s">
        <v>59</v>
      </c>
      <c r="D19" s="55"/>
    </row>
    <row r="20" spans="1:6" ht="13.5" thickBot="1" x14ac:dyDescent="0.25">
      <c r="B20" s="53" t="e">
        <f>D10</f>
        <v>#DIV/0!</v>
      </c>
      <c r="C20" s="54" t="s">
        <v>60</v>
      </c>
      <c r="D20" s="55"/>
    </row>
    <row r="21" spans="1:6" ht="13.5" thickBot="1" x14ac:dyDescent="0.25">
      <c r="B21" s="53" t="e">
        <f>D16</f>
        <v>#DIV/0!</v>
      </c>
      <c r="C21" s="54" t="s">
        <v>61</v>
      </c>
      <c r="D21" s="55"/>
    </row>
    <row r="22" spans="1:6" x14ac:dyDescent="0.2">
      <c r="B22" s="56" t="s">
        <v>74</v>
      </c>
      <c r="C22" s="57"/>
      <c r="D22" s="58"/>
    </row>
    <row r="23" spans="1:6" x14ac:dyDescent="0.2">
      <c r="B23" s="56" t="s">
        <v>75</v>
      </c>
      <c r="C23" s="57"/>
      <c r="D23" s="58"/>
    </row>
    <row r="24" spans="1:6" ht="13.5" thickBot="1" x14ac:dyDescent="0.25">
      <c r="B24" s="94" t="s">
        <v>76</v>
      </c>
      <c r="C24" s="95"/>
      <c r="D24" s="96"/>
    </row>
    <row r="25" spans="1:6" ht="13.5" thickBot="1" x14ac:dyDescent="0.25"/>
    <row r="26" spans="1:6" ht="13.5" thickBot="1" x14ac:dyDescent="0.25">
      <c r="A26" s="100" t="s">
        <v>46</v>
      </c>
      <c r="B26" s="98" t="s">
        <v>52</v>
      </c>
      <c r="C26" s="72"/>
      <c r="D26" s="72"/>
      <c r="E26" s="80"/>
    </row>
    <row r="27" spans="1:6" ht="13.5" thickBot="1" x14ac:dyDescent="0.25">
      <c r="A27" s="101" t="s">
        <v>47</v>
      </c>
      <c r="B27" s="205">
        <v>30000</v>
      </c>
      <c r="C27" s="106" t="e">
        <f>B27/C1</f>
        <v>#DIV/0!</v>
      </c>
      <c r="D27" s="107" t="s">
        <v>77</v>
      </c>
      <c r="E27" s="80"/>
    </row>
    <row r="28" spans="1:6" ht="13.5" thickBot="1" x14ac:dyDescent="0.25">
      <c r="A28" s="102" t="s">
        <v>44</v>
      </c>
      <c r="B28" s="188" t="e">
        <f>(DRE!C6+'BREAK EVEN POINTS'!E12+'BREAK EVEN POINTS'!B27)/DRE!D5</f>
        <v>#DIV/0!</v>
      </c>
      <c r="C28" s="108" t="s">
        <v>48</v>
      </c>
      <c r="D28" s="72"/>
      <c r="E28" s="72"/>
      <c r="F28" s="70"/>
    </row>
    <row r="29" spans="1:6" ht="13.5" thickBot="1" x14ac:dyDescent="0.25">
      <c r="A29" s="102" t="s">
        <v>49</v>
      </c>
      <c r="B29" s="188">
        <f>DRE!C2</f>
        <v>0</v>
      </c>
      <c r="C29" s="91"/>
      <c r="D29" s="74"/>
      <c r="E29" s="74"/>
      <c r="F29" s="82"/>
    </row>
    <row r="30" spans="1:6" ht="13.5" thickBot="1" x14ac:dyDescent="0.25">
      <c r="A30" s="102" t="s">
        <v>50</v>
      </c>
      <c r="B30" s="188" t="e">
        <f>B29-B28</f>
        <v>#DIV/0!</v>
      </c>
      <c r="C30" s="91" t="s">
        <v>51</v>
      </c>
      <c r="D30" s="74"/>
      <c r="E30" s="74"/>
      <c r="F30" s="82"/>
    </row>
    <row r="31" spans="1:6" ht="13.5" thickBot="1" x14ac:dyDescent="0.25">
      <c r="A31" s="102" t="s">
        <v>53</v>
      </c>
      <c r="B31" s="188" t="e">
        <f>B28*DRE!D5-DRE!C6</f>
        <v>#DIV/0!</v>
      </c>
      <c r="C31" s="91" t="s">
        <v>78</v>
      </c>
      <c r="D31" s="74"/>
      <c r="E31" s="74"/>
      <c r="F31" s="82"/>
    </row>
    <row r="32" spans="1:6" ht="13.5" thickBot="1" x14ac:dyDescent="0.25">
      <c r="A32" s="206" t="s">
        <v>128</v>
      </c>
      <c r="B32" s="189">
        <f>DRE!C28</f>
        <v>-12900</v>
      </c>
      <c r="C32" s="91" t="s">
        <v>79</v>
      </c>
      <c r="D32" s="74"/>
      <c r="E32" s="74"/>
      <c r="F32" s="82"/>
    </row>
    <row r="33" spans="1:6" ht="13.5" thickBot="1" x14ac:dyDescent="0.25">
      <c r="A33" s="73" t="s">
        <v>50</v>
      </c>
      <c r="B33" s="188" t="e">
        <f>B32-B31</f>
        <v>#DIV/0!</v>
      </c>
      <c r="C33" s="91" t="s">
        <v>80</v>
      </c>
      <c r="D33" s="74"/>
      <c r="E33" s="74"/>
      <c r="F33" s="82"/>
    </row>
    <row r="34" spans="1:6" ht="13.5" thickBot="1" x14ac:dyDescent="0.25">
      <c r="A34" s="104" t="s">
        <v>82</v>
      </c>
      <c r="B34" s="76"/>
      <c r="C34" s="196" t="e">
        <f>B27+B33</f>
        <v>#DIV/0!</v>
      </c>
      <c r="D34" s="103" t="s">
        <v>81</v>
      </c>
      <c r="E34" s="76"/>
      <c r="F34" s="83"/>
    </row>
    <row r="35" spans="1:6" ht="13.5" thickBot="1" x14ac:dyDescent="0.25"/>
    <row r="36" spans="1:6" ht="16.5" thickBot="1" x14ac:dyDescent="0.3">
      <c r="A36" s="100" t="s">
        <v>39</v>
      </c>
      <c r="B36" s="72"/>
      <c r="C36" s="111" t="e">
        <f>C43/C37</f>
        <v>#DIV/0!</v>
      </c>
      <c r="D36" s="114" t="s">
        <v>40</v>
      </c>
      <c r="E36" s="72"/>
      <c r="F36" s="80"/>
    </row>
    <row r="37" spans="1:6" ht="13.5" thickBot="1" x14ac:dyDescent="0.25">
      <c r="A37" s="110"/>
      <c r="B37" s="109" t="s">
        <v>43</v>
      </c>
      <c r="C37" s="118">
        <v>0.89300000000000002</v>
      </c>
      <c r="D37" s="102" t="s">
        <v>86</v>
      </c>
      <c r="E37" s="189">
        <f>DRE!C2</f>
        <v>0</v>
      </c>
      <c r="F37" s="99"/>
    </row>
    <row r="38" spans="1:6" ht="13.5" thickBot="1" x14ac:dyDescent="0.25">
      <c r="A38" s="91"/>
      <c r="B38" s="97" t="s">
        <v>87</v>
      </c>
      <c r="C38" s="190">
        <f>B29*(1+C37)</f>
        <v>0</v>
      </c>
      <c r="D38" s="115">
        <v>1</v>
      </c>
      <c r="E38" s="74"/>
      <c r="F38" s="82"/>
    </row>
    <row r="39" spans="1:6" ht="13.5" thickBot="1" x14ac:dyDescent="0.25">
      <c r="A39" s="91"/>
      <c r="B39" s="97" t="s">
        <v>41</v>
      </c>
      <c r="C39" s="190" t="e">
        <f>C38*(DRE!D3+DRE!D4)</f>
        <v>#DIV/0!</v>
      </c>
      <c r="D39" s="112" t="e">
        <f>C39/C38</f>
        <v>#DIV/0!</v>
      </c>
      <c r="E39" s="74"/>
      <c r="F39" s="82"/>
    </row>
    <row r="40" spans="1:6" ht="13.5" thickBot="1" x14ac:dyDescent="0.25">
      <c r="A40" s="97" t="s">
        <v>83</v>
      </c>
      <c r="B40" s="97"/>
      <c r="C40" s="190" t="e">
        <f>C38-C39</f>
        <v>#DIV/0!</v>
      </c>
      <c r="D40" s="116" t="e">
        <f>D38-D39</f>
        <v>#DIV/0!</v>
      </c>
      <c r="E40" s="74"/>
      <c r="F40" s="82"/>
    </row>
    <row r="41" spans="1:6" ht="13.5" thickBot="1" x14ac:dyDescent="0.25">
      <c r="A41" s="91"/>
      <c r="B41" s="97" t="s">
        <v>85</v>
      </c>
      <c r="C41" s="190">
        <f>(DRE!C6-DRE!B25)</f>
        <v>12500</v>
      </c>
      <c r="D41" s="112" t="e">
        <f>C41/C38</f>
        <v>#DIV/0!</v>
      </c>
      <c r="E41" s="117" t="s">
        <v>88</v>
      </c>
      <c r="F41" s="82"/>
    </row>
    <row r="42" spans="1:6" ht="13.5" thickBot="1" x14ac:dyDescent="0.25">
      <c r="A42" s="97" t="s">
        <v>84</v>
      </c>
      <c r="B42" s="97"/>
      <c r="C42" s="191" t="e">
        <f>C40-C41</f>
        <v>#DIV/0!</v>
      </c>
      <c r="D42" s="190">
        <f>DRE!C24</f>
        <v>-12500</v>
      </c>
      <c r="E42" s="253" t="s">
        <v>169</v>
      </c>
      <c r="F42" s="82"/>
    </row>
    <row r="43" spans="1:6" ht="13.5" thickBot="1" x14ac:dyDescent="0.25">
      <c r="A43" s="119" t="s">
        <v>89</v>
      </c>
      <c r="B43" s="112" t="e">
        <f>100%/C36</f>
        <v>#DIV/0!</v>
      </c>
      <c r="C43" s="112" t="e">
        <f>(C42-DRE!C24)/DRE!C24</f>
        <v>#DIV/0!</v>
      </c>
      <c r="D43" s="113" t="e">
        <f>(C42-D42)/D42</f>
        <v>#DIV/0!</v>
      </c>
      <c r="E43" s="103" t="s">
        <v>42</v>
      </c>
      <c r="F43" s="83"/>
    </row>
    <row r="45" spans="1:6" ht="13.5" thickBot="1" x14ac:dyDescent="0.25">
      <c r="C45" s="136" t="s">
        <v>100</v>
      </c>
      <c r="D45" s="136" t="s">
        <v>101</v>
      </c>
      <c r="E45" s="136" t="s">
        <v>102</v>
      </c>
    </row>
    <row r="46" spans="1:6" ht="13.5" thickBot="1" x14ac:dyDescent="0.25">
      <c r="A46" s="134" t="s">
        <v>90</v>
      </c>
      <c r="B46" s="132" t="e">
        <f>LISTA!K1</f>
        <v>#DIV/0!</v>
      </c>
      <c r="C46" s="192" t="e">
        <f>DRE!$C$6/'BREAK EVEN POINTS'!$B$46</f>
        <v>#DIV/0!</v>
      </c>
      <c r="D46" s="192" t="e">
        <f>(DRE!$C$6+'BREAK EVEN POINTS'!E12)/'BREAK EVEN POINTS'!$B$46</f>
        <v>#DIV/0!</v>
      </c>
      <c r="E46" s="192" t="e">
        <f>(DRE!$C$6-DRE!$B$23+'BREAK EVEN POINTS'!$B$8)/'BREAK EVEN POINTS'!B46</f>
        <v>#DIV/0!</v>
      </c>
    </row>
    <row r="47" spans="1:6" ht="13.5" thickBot="1" x14ac:dyDescent="0.25">
      <c r="A47" s="135" t="s">
        <v>91</v>
      </c>
      <c r="B47" s="123">
        <f>D56</f>
        <v>0.75080000000000002</v>
      </c>
      <c r="C47" s="192">
        <f>DRE!$C$6/'BREAK EVEN POINTS'!$B$47</f>
        <v>17181.672882258925</v>
      </c>
      <c r="D47" s="192">
        <f>(DRE!$C$6+E12)/'BREAK EVEN POINTS'!$B$47</f>
        <v>23841.23601491742</v>
      </c>
      <c r="E47" s="192">
        <f>(DRE!$C$6-DRE!$B$23+'BREAK EVEN POINTS'!$B$8)/'BREAK EVEN POINTS'!B47</f>
        <v>18513.585508790624</v>
      </c>
    </row>
    <row r="48" spans="1:6" ht="13.5" thickBot="1" x14ac:dyDescent="0.25">
      <c r="A48" s="134" t="s">
        <v>92</v>
      </c>
      <c r="B48" s="133">
        <f>STDEVA(B57:B255)</f>
        <v>0</v>
      </c>
      <c r="C48" s="2"/>
      <c r="D48" s="2"/>
      <c r="E48" s="2"/>
    </row>
    <row r="49" spans="1:5" ht="13.5" thickBot="1" x14ac:dyDescent="0.25">
      <c r="A49" s="137" t="s">
        <v>93</v>
      </c>
      <c r="B49" s="138">
        <f>$B$47+$B$48</f>
        <v>0.75080000000000002</v>
      </c>
      <c r="C49" s="193">
        <f>DRE!$C$6/'BREAK EVEN POINTS'!$B$49</f>
        <v>17181.672882258925</v>
      </c>
      <c r="D49" s="193">
        <f>(DRE!$C$6+E12)/'BREAK EVEN POINTS'!$B$49</f>
        <v>23841.23601491742</v>
      </c>
      <c r="E49" s="193">
        <f>(DRE!$C$6-DRE!$B$23+'BREAK EVEN POINTS'!$B$8)/'BREAK EVEN POINTS'!B49</f>
        <v>18513.585508790624</v>
      </c>
    </row>
    <row r="50" spans="1:5" ht="13.5" thickBot="1" x14ac:dyDescent="0.25">
      <c r="A50" s="139" t="s">
        <v>94</v>
      </c>
      <c r="B50" s="140">
        <f>$B$47-$B$48</f>
        <v>0.75080000000000002</v>
      </c>
      <c r="C50" s="193">
        <f>DRE!$C$6/'BREAK EVEN POINTS'!$B$50</f>
        <v>17181.672882258925</v>
      </c>
      <c r="D50" s="193">
        <f>(DRE!$C$6+E12)/'BREAK EVEN POINTS'!$B$50</f>
        <v>23841.23601491742</v>
      </c>
      <c r="E50" s="193">
        <f>(DRE!$C$6-DRE!$B$23+'BREAK EVEN POINTS'!$B$8)/'BREAK EVEN POINTS'!B50</f>
        <v>18513.585508790624</v>
      </c>
    </row>
    <row r="51" spans="1:5" ht="13.5" thickBot="1" x14ac:dyDescent="0.25">
      <c r="A51" s="124" t="s">
        <v>98</v>
      </c>
      <c r="B51" s="125">
        <f>$B$47+2*$B$48</f>
        <v>0.75080000000000002</v>
      </c>
      <c r="C51" s="194">
        <f>DRE!$C$6/'BREAK EVEN POINTS'!$B$51</f>
        <v>17181.672882258925</v>
      </c>
      <c r="D51" s="194">
        <f>(DRE!$C$6+E12)/'BREAK EVEN POINTS'!$B$51</f>
        <v>23841.23601491742</v>
      </c>
      <c r="E51" s="194">
        <f>(DRE!$C$6-DRE!$B$23+'BREAK EVEN POINTS'!$B$8)/'BREAK EVEN POINTS'!B51</f>
        <v>18513.585508790624</v>
      </c>
    </row>
    <row r="52" spans="1:5" ht="13.5" thickBot="1" x14ac:dyDescent="0.25">
      <c r="A52" s="126" t="s">
        <v>97</v>
      </c>
      <c r="B52" s="127">
        <f>$B$47-2*$B$48</f>
        <v>0.75080000000000002</v>
      </c>
      <c r="C52" s="194">
        <f>DRE!$C$6/'BREAK EVEN POINTS'!$B$52</f>
        <v>17181.672882258925</v>
      </c>
      <c r="D52" s="194">
        <f>(DRE!$C$6+E12)/'BREAK EVEN POINTS'!$B$52</f>
        <v>23841.23601491742</v>
      </c>
      <c r="E52" s="194">
        <f>(DRE!$C$6-DRE!$B$23+'BREAK EVEN POINTS'!$B$8)/'BREAK EVEN POINTS'!B52</f>
        <v>18513.585508790624</v>
      </c>
    </row>
    <row r="53" spans="1:5" ht="13.5" thickBot="1" x14ac:dyDescent="0.25">
      <c r="A53" s="128" t="s">
        <v>96</v>
      </c>
      <c r="B53" s="129">
        <f>$B$47+3*$B$48</f>
        <v>0.75080000000000002</v>
      </c>
      <c r="C53" s="195">
        <f>DRE!$C$6/'BREAK EVEN POINTS'!$B$53</f>
        <v>17181.672882258925</v>
      </c>
      <c r="D53" s="195">
        <f>(DRE!$C$6+E12)/'BREAK EVEN POINTS'!$B$53</f>
        <v>23841.23601491742</v>
      </c>
      <c r="E53" s="195">
        <f>(DRE!$C$6-DRE!$B$23+'BREAK EVEN POINTS'!$B$8)/'BREAK EVEN POINTS'!B53</f>
        <v>18513.585508790624</v>
      </c>
    </row>
    <row r="54" spans="1:5" ht="13.5" thickBot="1" x14ac:dyDescent="0.25">
      <c r="A54" s="130" t="s">
        <v>95</v>
      </c>
      <c r="B54" s="131">
        <f>$B$47-3*$B$48</f>
        <v>0.75080000000000002</v>
      </c>
      <c r="C54" s="195">
        <f>DRE!$C$6/'BREAK EVEN POINTS'!$B$54</f>
        <v>17181.672882258925</v>
      </c>
      <c r="D54" s="195">
        <f>(DRE!$C$6+E12)/'BREAK EVEN POINTS'!$B$54</f>
        <v>23841.23601491742</v>
      </c>
      <c r="E54" s="195">
        <f>(DRE!$C$6-DRE!$B$23+'BREAK EVEN POINTS'!$B$8)/'BREAK EVEN POINTS'!B54</f>
        <v>18513.585508790624</v>
      </c>
    </row>
    <row r="55" spans="1:5" ht="13.5" thickBot="1" x14ac:dyDescent="0.25"/>
    <row r="56" spans="1:5" ht="13.5" thickBot="1" x14ac:dyDescent="0.25">
      <c r="A56" s="19" t="s">
        <v>99</v>
      </c>
      <c r="B56" s="156" t="s">
        <v>103</v>
      </c>
      <c r="D56" s="144">
        <f>AVERAGE(B57:B255)</f>
        <v>0.75080000000000002</v>
      </c>
    </row>
    <row r="57" spans="1:5" x14ac:dyDescent="0.2">
      <c r="A57" s="122">
        <v>43466</v>
      </c>
      <c r="B57" s="121">
        <v>0.75080000000000002</v>
      </c>
    </row>
    <row r="58" spans="1:5" x14ac:dyDescent="0.2">
      <c r="A58" s="122">
        <v>43497</v>
      </c>
      <c r="B58" s="121">
        <v>0.75080000000000002</v>
      </c>
    </row>
    <row r="59" spans="1:5" x14ac:dyDescent="0.2">
      <c r="A59" s="122">
        <v>43525</v>
      </c>
      <c r="B59" s="121">
        <v>0.75080000000000002</v>
      </c>
    </row>
    <row r="60" spans="1:5" x14ac:dyDescent="0.2">
      <c r="A60" s="122">
        <v>43556</v>
      </c>
      <c r="B60" s="121">
        <v>0.75080000000000002</v>
      </c>
    </row>
    <row r="61" spans="1:5" x14ac:dyDescent="0.2">
      <c r="A61" s="122">
        <v>43586</v>
      </c>
      <c r="B61" s="121">
        <v>0.75080000000000002</v>
      </c>
    </row>
    <row r="62" spans="1:5" x14ac:dyDescent="0.2">
      <c r="A62" s="122">
        <v>43617</v>
      </c>
      <c r="B62" s="121">
        <v>0.75080000000000002</v>
      </c>
    </row>
    <row r="63" spans="1:5" x14ac:dyDescent="0.2">
      <c r="A63" s="122">
        <v>43647</v>
      </c>
      <c r="B63" s="121">
        <v>0.75080000000000002</v>
      </c>
    </row>
    <row r="64" spans="1:5" x14ac:dyDescent="0.2">
      <c r="A64" s="122">
        <v>43678</v>
      </c>
      <c r="B64" s="121"/>
    </row>
    <row r="65" spans="1:2" x14ac:dyDescent="0.2">
      <c r="A65" s="122">
        <v>43709</v>
      </c>
      <c r="B65" s="121"/>
    </row>
    <row r="66" spans="1:2" x14ac:dyDescent="0.2">
      <c r="A66" s="122">
        <v>43739</v>
      </c>
      <c r="B66" s="121"/>
    </row>
    <row r="67" spans="1:2" x14ac:dyDescent="0.2">
      <c r="A67" s="122">
        <v>43770</v>
      </c>
      <c r="B67" s="121"/>
    </row>
    <row r="68" spans="1:2" x14ac:dyDescent="0.2">
      <c r="A68" s="122">
        <v>43800</v>
      </c>
      <c r="B68" s="121"/>
    </row>
    <row r="69" spans="1:2" x14ac:dyDescent="0.2">
      <c r="A69" s="122">
        <v>43831</v>
      </c>
      <c r="B69" s="121"/>
    </row>
    <row r="70" spans="1:2" x14ac:dyDescent="0.2">
      <c r="A70" s="122">
        <v>43862</v>
      </c>
      <c r="B70" s="121"/>
    </row>
    <row r="71" spans="1:2" x14ac:dyDescent="0.2">
      <c r="A71" s="122">
        <v>43891</v>
      </c>
      <c r="B71" s="121"/>
    </row>
    <row r="72" spans="1:2" x14ac:dyDescent="0.2">
      <c r="A72" s="122">
        <v>43922</v>
      </c>
      <c r="B72" s="121"/>
    </row>
    <row r="73" spans="1:2" x14ac:dyDescent="0.2">
      <c r="A73" s="122">
        <v>43952</v>
      </c>
      <c r="B73" s="121"/>
    </row>
    <row r="74" spans="1:2" x14ac:dyDescent="0.2">
      <c r="A74" s="122">
        <v>43983</v>
      </c>
      <c r="B74" s="121"/>
    </row>
    <row r="75" spans="1:2" x14ac:dyDescent="0.2">
      <c r="A75" s="122">
        <v>44013</v>
      </c>
      <c r="B75" s="121"/>
    </row>
    <row r="76" spans="1:2" x14ac:dyDescent="0.2">
      <c r="A76" s="122">
        <v>44044</v>
      </c>
      <c r="B76" s="121"/>
    </row>
    <row r="77" spans="1:2" x14ac:dyDescent="0.2">
      <c r="A77" s="122">
        <v>44075</v>
      </c>
      <c r="B77" s="121"/>
    </row>
    <row r="78" spans="1:2" x14ac:dyDescent="0.2">
      <c r="A78" s="122">
        <v>44105</v>
      </c>
      <c r="B78" s="121"/>
    </row>
    <row r="79" spans="1:2" x14ac:dyDescent="0.2">
      <c r="A79" s="122">
        <v>44136</v>
      </c>
      <c r="B79" s="121"/>
    </row>
    <row r="80" spans="1:2" x14ac:dyDescent="0.2">
      <c r="A80" s="122">
        <v>44166</v>
      </c>
      <c r="B80" s="121"/>
    </row>
    <row r="81" spans="1:2" x14ac:dyDescent="0.2">
      <c r="A81" s="122">
        <v>44197</v>
      </c>
      <c r="B81" s="121"/>
    </row>
    <row r="82" spans="1:2" x14ac:dyDescent="0.2">
      <c r="A82" s="122">
        <v>44228</v>
      </c>
      <c r="B82" s="121"/>
    </row>
    <row r="83" spans="1:2" x14ac:dyDescent="0.2">
      <c r="A83" s="122">
        <v>44256</v>
      </c>
      <c r="B83" s="121"/>
    </row>
    <row r="84" spans="1:2" x14ac:dyDescent="0.2">
      <c r="A84" s="122">
        <v>44287</v>
      </c>
      <c r="B84" s="121"/>
    </row>
    <row r="85" spans="1:2" x14ac:dyDescent="0.2">
      <c r="A85" s="122">
        <v>44317</v>
      </c>
      <c r="B85" s="121"/>
    </row>
    <row r="86" spans="1:2" x14ac:dyDescent="0.2">
      <c r="A86" s="122">
        <v>44348</v>
      </c>
      <c r="B86" s="121"/>
    </row>
    <row r="87" spans="1:2" x14ac:dyDescent="0.2">
      <c r="A87" s="122">
        <v>44378</v>
      </c>
      <c r="B87" s="121"/>
    </row>
    <row r="88" spans="1:2" x14ac:dyDescent="0.2">
      <c r="A88" s="122">
        <v>44409</v>
      </c>
      <c r="B88" s="121"/>
    </row>
    <row r="89" spans="1:2" x14ac:dyDescent="0.2">
      <c r="A89" s="122">
        <v>44440</v>
      </c>
      <c r="B89" s="121"/>
    </row>
    <row r="90" spans="1:2" x14ac:dyDescent="0.2">
      <c r="A90" s="122">
        <v>44470</v>
      </c>
      <c r="B90" s="121"/>
    </row>
    <row r="91" spans="1:2" x14ac:dyDescent="0.2">
      <c r="A91" s="122">
        <v>44501</v>
      </c>
      <c r="B91" s="121"/>
    </row>
    <row r="92" spans="1:2" x14ac:dyDescent="0.2">
      <c r="A92" s="122">
        <v>44531</v>
      </c>
      <c r="B92" s="121"/>
    </row>
    <row r="93" spans="1:2" x14ac:dyDescent="0.2">
      <c r="A93" s="122">
        <v>44562</v>
      </c>
      <c r="B93" s="121"/>
    </row>
    <row r="94" spans="1:2" x14ac:dyDescent="0.2">
      <c r="A94" s="122">
        <v>44593</v>
      </c>
      <c r="B94" s="121"/>
    </row>
    <row r="95" spans="1:2" x14ac:dyDescent="0.2">
      <c r="A95" s="122">
        <v>44621</v>
      </c>
      <c r="B95" s="121"/>
    </row>
    <row r="96" spans="1:2" x14ac:dyDescent="0.2">
      <c r="A96" s="122">
        <v>44652</v>
      </c>
      <c r="B96" s="121"/>
    </row>
    <row r="97" spans="1:2" x14ac:dyDescent="0.2">
      <c r="A97" s="122">
        <v>44682</v>
      </c>
      <c r="B97" s="121"/>
    </row>
    <row r="98" spans="1:2" x14ac:dyDescent="0.2">
      <c r="A98" s="122">
        <v>44713</v>
      </c>
      <c r="B98" s="121"/>
    </row>
    <row r="99" spans="1:2" x14ac:dyDescent="0.2">
      <c r="A99" s="122">
        <v>44743</v>
      </c>
      <c r="B99" s="121"/>
    </row>
    <row r="100" spans="1:2" x14ac:dyDescent="0.2">
      <c r="A100" s="122">
        <v>44774</v>
      </c>
      <c r="B100" s="121"/>
    </row>
    <row r="101" spans="1:2" x14ac:dyDescent="0.2">
      <c r="A101" s="122">
        <v>44805</v>
      </c>
      <c r="B101" s="121"/>
    </row>
    <row r="102" spans="1:2" x14ac:dyDescent="0.2">
      <c r="A102" s="122">
        <v>44835</v>
      </c>
      <c r="B102" s="121"/>
    </row>
    <row r="103" spans="1:2" x14ac:dyDescent="0.2">
      <c r="A103" s="122">
        <v>44866</v>
      </c>
      <c r="B103" s="121"/>
    </row>
    <row r="104" spans="1:2" x14ac:dyDescent="0.2">
      <c r="A104" s="122">
        <v>44896</v>
      </c>
      <c r="B104" s="121"/>
    </row>
    <row r="105" spans="1:2" x14ac:dyDescent="0.2">
      <c r="A105" s="122">
        <v>44927</v>
      </c>
      <c r="B105" s="121"/>
    </row>
    <row r="106" spans="1:2" x14ac:dyDescent="0.2">
      <c r="A106" s="122">
        <v>44958</v>
      </c>
      <c r="B106" s="121"/>
    </row>
    <row r="107" spans="1:2" x14ac:dyDescent="0.2">
      <c r="A107" s="122">
        <v>44986</v>
      </c>
      <c r="B107" s="121"/>
    </row>
    <row r="108" spans="1:2" x14ac:dyDescent="0.2">
      <c r="A108" s="122">
        <v>45017</v>
      </c>
      <c r="B108" s="121"/>
    </row>
    <row r="109" spans="1:2" x14ac:dyDescent="0.2">
      <c r="A109" s="122">
        <v>45047</v>
      </c>
      <c r="B109" s="121"/>
    </row>
    <row r="110" spans="1:2" x14ac:dyDescent="0.2">
      <c r="A110" s="122">
        <v>45078</v>
      </c>
      <c r="B110" s="121"/>
    </row>
    <row r="111" spans="1:2" x14ac:dyDescent="0.2">
      <c r="A111" s="122">
        <v>45108</v>
      </c>
      <c r="B111" s="121"/>
    </row>
    <row r="112" spans="1:2" x14ac:dyDescent="0.2">
      <c r="A112" s="122">
        <v>45139</v>
      </c>
      <c r="B112" s="121"/>
    </row>
    <row r="113" spans="1:2" x14ac:dyDescent="0.2">
      <c r="A113" s="122">
        <v>45170</v>
      </c>
      <c r="B113" s="121"/>
    </row>
    <row r="114" spans="1:2" x14ac:dyDescent="0.2">
      <c r="A114" s="122">
        <v>45200</v>
      </c>
      <c r="B114" s="121"/>
    </row>
    <row r="115" spans="1:2" x14ac:dyDescent="0.2">
      <c r="A115" s="122">
        <v>45231</v>
      </c>
      <c r="B115" s="121"/>
    </row>
    <row r="116" spans="1:2" x14ac:dyDescent="0.2">
      <c r="A116" s="122">
        <v>45261</v>
      </c>
      <c r="B116" s="121"/>
    </row>
    <row r="117" spans="1:2" x14ac:dyDescent="0.2">
      <c r="A117" s="122">
        <v>45292</v>
      </c>
      <c r="B117" s="121"/>
    </row>
    <row r="118" spans="1:2" x14ac:dyDescent="0.2">
      <c r="A118" s="122">
        <v>45323</v>
      </c>
      <c r="B118" s="121"/>
    </row>
    <row r="119" spans="1:2" x14ac:dyDescent="0.2">
      <c r="A119" s="122">
        <v>45352</v>
      </c>
      <c r="B119" s="121"/>
    </row>
    <row r="120" spans="1:2" x14ac:dyDescent="0.2">
      <c r="A120" s="122">
        <v>45383</v>
      </c>
      <c r="B120" s="121"/>
    </row>
    <row r="121" spans="1:2" x14ac:dyDescent="0.2">
      <c r="A121" s="122">
        <v>45413</v>
      </c>
      <c r="B121" s="121"/>
    </row>
    <row r="122" spans="1:2" x14ac:dyDescent="0.2">
      <c r="A122" s="122">
        <v>45444</v>
      </c>
      <c r="B122" s="121"/>
    </row>
    <row r="123" spans="1:2" x14ac:dyDescent="0.2">
      <c r="A123" s="122">
        <v>45474</v>
      </c>
      <c r="B123" s="121"/>
    </row>
    <row r="124" spans="1:2" x14ac:dyDescent="0.2">
      <c r="A124" s="122">
        <v>45505</v>
      </c>
      <c r="B124" s="121"/>
    </row>
    <row r="125" spans="1:2" x14ac:dyDescent="0.2">
      <c r="A125" s="122">
        <v>45536</v>
      </c>
      <c r="B125" s="121"/>
    </row>
    <row r="126" spans="1:2" x14ac:dyDescent="0.2">
      <c r="A126" s="122">
        <v>45566</v>
      </c>
      <c r="B126" s="121"/>
    </row>
    <row r="127" spans="1:2" x14ac:dyDescent="0.2">
      <c r="A127" s="122">
        <v>45597</v>
      </c>
      <c r="B127" s="121"/>
    </row>
    <row r="128" spans="1:2" x14ac:dyDescent="0.2">
      <c r="A128" s="122">
        <v>45627</v>
      </c>
      <c r="B128" s="121"/>
    </row>
    <row r="129" spans="1:2" x14ac:dyDescent="0.2">
      <c r="A129" s="122">
        <v>45658</v>
      </c>
      <c r="B129" s="121"/>
    </row>
    <row r="130" spans="1:2" x14ac:dyDescent="0.2">
      <c r="A130" s="122">
        <v>45689</v>
      </c>
      <c r="B130" s="121"/>
    </row>
    <row r="131" spans="1:2" x14ac:dyDescent="0.2">
      <c r="A131" s="122">
        <v>45717</v>
      </c>
      <c r="B131" s="121"/>
    </row>
    <row r="132" spans="1:2" x14ac:dyDescent="0.2">
      <c r="A132" s="122">
        <v>45748</v>
      </c>
      <c r="B132" s="121"/>
    </row>
    <row r="133" spans="1:2" x14ac:dyDescent="0.2">
      <c r="A133" s="122">
        <v>45778</v>
      </c>
      <c r="B133" s="121"/>
    </row>
    <row r="134" spans="1:2" x14ac:dyDescent="0.2">
      <c r="A134" s="122">
        <v>45809</v>
      </c>
      <c r="B134" s="121"/>
    </row>
    <row r="135" spans="1:2" x14ac:dyDescent="0.2">
      <c r="A135" s="122">
        <v>45839</v>
      </c>
      <c r="B135" s="121"/>
    </row>
    <row r="136" spans="1:2" x14ac:dyDescent="0.2">
      <c r="A136" s="122">
        <v>45870</v>
      </c>
      <c r="B136" s="121"/>
    </row>
    <row r="137" spans="1:2" x14ac:dyDescent="0.2">
      <c r="A137" s="122">
        <v>45901</v>
      </c>
      <c r="B137" s="121"/>
    </row>
    <row r="138" spans="1:2" x14ac:dyDescent="0.2">
      <c r="A138" s="122">
        <v>45931</v>
      </c>
      <c r="B138" s="121"/>
    </row>
    <row r="139" spans="1:2" x14ac:dyDescent="0.2">
      <c r="A139" s="122">
        <v>45962</v>
      </c>
      <c r="B139" s="121"/>
    </row>
    <row r="140" spans="1:2" x14ac:dyDescent="0.2">
      <c r="A140" s="122">
        <v>45992</v>
      </c>
      <c r="B140" s="121"/>
    </row>
    <row r="141" spans="1:2" x14ac:dyDescent="0.2">
      <c r="A141" s="122">
        <v>46023</v>
      </c>
      <c r="B141" s="121"/>
    </row>
    <row r="142" spans="1:2" x14ac:dyDescent="0.2">
      <c r="A142" s="122">
        <v>46054</v>
      </c>
      <c r="B142" s="121"/>
    </row>
    <row r="143" spans="1:2" x14ac:dyDescent="0.2">
      <c r="A143" s="122">
        <v>46082</v>
      </c>
      <c r="B143" s="121"/>
    </row>
    <row r="144" spans="1:2" x14ac:dyDescent="0.2">
      <c r="A144" s="122">
        <v>46113</v>
      </c>
      <c r="B144" s="121"/>
    </row>
    <row r="145" spans="1:2" x14ac:dyDescent="0.2">
      <c r="A145" s="122">
        <v>46143</v>
      </c>
      <c r="B145" s="121"/>
    </row>
    <row r="146" spans="1:2" x14ac:dyDescent="0.2">
      <c r="A146" s="122">
        <v>46174</v>
      </c>
      <c r="B146" s="121"/>
    </row>
    <row r="147" spans="1:2" x14ac:dyDescent="0.2">
      <c r="A147" s="122">
        <v>46204</v>
      </c>
      <c r="B147" s="121"/>
    </row>
    <row r="148" spans="1:2" x14ac:dyDescent="0.2">
      <c r="A148" s="122">
        <v>46235</v>
      </c>
      <c r="B148" s="121"/>
    </row>
    <row r="149" spans="1:2" x14ac:dyDescent="0.2">
      <c r="A149" s="122">
        <v>46266</v>
      </c>
      <c r="B149" s="121"/>
    </row>
    <row r="150" spans="1:2" x14ac:dyDescent="0.2">
      <c r="A150" s="122">
        <v>46296</v>
      </c>
      <c r="B150" s="121"/>
    </row>
    <row r="151" spans="1:2" x14ac:dyDescent="0.2">
      <c r="A151" s="122">
        <v>46327</v>
      </c>
      <c r="B151" s="121"/>
    </row>
    <row r="152" spans="1:2" x14ac:dyDescent="0.2">
      <c r="A152" s="122">
        <v>46357</v>
      </c>
      <c r="B152" s="121"/>
    </row>
    <row r="153" spans="1:2" x14ac:dyDescent="0.2">
      <c r="A153" s="122">
        <v>46388</v>
      </c>
      <c r="B153" s="121"/>
    </row>
    <row r="154" spans="1:2" x14ac:dyDescent="0.2">
      <c r="A154" s="122">
        <v>46419</v>
      </c>
      <c r="B154" s="121"/>
    </row>
    <row r="155" spans="1:2" x14ac:dyDescent="0.2">
      <c r="A155" s="122">
        <v>46447</v>
      </c>
      <c r="B155" s="121"/>
    </row>
    <row r="156" spans="1:2" x14ac:dyDescent="0.2">
      <c r="A156" s="122">
        <v>46478</v>
      </c>
      <c r="B156" s="121"/>
    </row>
    <row r="157" spans="1:2" x14ac:dyDescent="0.2">
      <c r="A157" s="122">
        <v>46508</v>
      </c>
      <c r="B157" s="121"/>
    </row>
    <row r="158" spans="1:2" x14ac:dyDescent="0.2">
      <c r="A158" s="122">
        <v>46539</v>
      </c>
      <c r="B158" s="121"/>
    </row>
    <row r="159" spans="1:2" x14ac:dyDescent="0.2">
      <c r="A159" s="122">
        <v>46569</v>
      </c>
      <c r="B159" s="121"/>
    </row>
    <row r="160" spans="1:2" x14ac:dyDescent="0.2">
      <c r="A160" s="122">
        <v>46600</v>
      </c>
      <c r="B160" s="121"/>
    </row>
    <row r="161" spans="1:2" x14ac:dyDescent="0.2">
      <c r="A161" s="122">
        <v>46631</v>
      </c>
      <c r="B161" s="121"/>
    </row>
    <row r="162" spans="1:2" x14ac:dyDescent="0.2">
      <c r="A162" s="122">
        <v>46661</v>
      </c>
      <c r="B162" s="121"/>
    </row>
    <row r="163" spans="1:2" x14ac:dyDescent="0.2">
      <c r="A163" s="122">
        <v>46692</v>
      </c>
      <c r="B163" s="121"/>
    </row>
    <row r="164" spans="1:2" x14ac:dyDescent="0.2">
      <c r="A164" s="122">
        <v>46722</v>
      </c>
      <c r="B164" s="121"/>
    </row>
    <row r="165" spans="1:2" x14ac:dyDescent="0.2">
      <c r="A165" s="122">
        <v>46753</v>
      </c>
      <c r="B165" s="121"/>
    </row>
    <row r="166" spans="1:2" x14ac:dyDescent="0.2">
      <c r="A166" s="122">
        <v>46784</v>
      </c>
      <c r="B166" s="121"/>
    </row>
    <row r="167" spans="1:2" x14ac:dyDescent="0.2">
      <c r="A167" s="122">
        <v>46813</v>
      </c>
      <c r="B167" s="121"/>
    </row>
    <row r="168" spans="1:2" x14ac:dyDescent="0.2">
      <c r="A168" s="122">
        <v>46844</v>
      </c>
      <c r="B168" s="121"/>
    </row>
    <row r="169" spans="1:2" x14ac:dyDescent="0.2">
      <c r="A169" s="122">
        <v>46874</v>
      </c>
      <c r="B169" s="121"/>
    </row>
    <row r="170" spans="1:2" x14ac:dyDescent="0.2">
      <c r="A170" s="122">
        <v>46905</v>
      </c>
      <c r="B170" s="121"/>
    </row>
    <row r="171" spans="1:2" x14ac:dyDescent="0.2">
      <c r="A171" s="122">
        <v>46935</v>
      </c>
      <c r="B171" s="121"/>
    </row>
    <row r="172" spans="1:2" x14ac:dyDescent="0.2">
      <c r="A172" s="122">
        <v>46966</v>
      </c>
      <c r="B172" s="121"/>
    </row>
    <row r="173" spans="1:2" x14ac:dyDescent="0.2">
      <c r="A173" s="122">
        <v>46997</v>
      </c>
      <c r="B173" s="121"/>
    </row>
    <row r="174" spans="1:2" x14ac:dyDescent="0.2">
      <c r="A174" s="122">
        <v>47027</v>
      </c>
      <c r="B174" s="121"/>
    </row>
    <row r="175" spans="1:2" x14ac:dyDescent="0.2">
      <c r="A175" s="122">
        <v>47058</v>
      </c>
      <c r="B175" s="121"/>
    </row>
    <row r="176" spans="1:2" x14ac:dyDescent="0.2">
      <c r="A176" s="122">
        <v>47088</v>
      </c>
      <c r="B176" s="121"/>
    </row>
    <row r="177" spans="1:2" x14ac:dyDescent="0.2">
      <c r="A177" s="122">
        <v>47119</v>
      </c>
      <c r="B177" s="121"/>
    </row>
    <row r="178" spans="1:2" x14ac:dyDescent="0.2">
      <c r="A178" s="122">
        <v>47150</v>
      </c>
      <c r="B178" s="121"/>
    </row>
    <row r="179" spans="1:2" x14ac:dyDescent="0.2">
      <c r="A179" s="122">
        <v>47178</v>
      </c>
      <c r="B179" s="121"/>
    </row>
    <row r="180" spans="1:2" x14ac:dyDescent="0.2">
      <c r="A180" s="122">
        <v>47209</v>
      </c>
      <c r="B180" s="121"/>
    </row>
    <row r="181" spans="1:2" x14ac:dyDescent="0.2">
      <c r="A181" s="122">
        <v>47239</v>
      </c>
      <c r="B181" s="121"/>
    </row>
    <row r="182" spans="1:2" x14ac:dyDescent="0.2">
      <c r="A182" s="122">
        <v>47270</v>
      </c>
      <c r="B182" s="121"/>
    </row>
    <row r="183" spans="1:2" x14ac:dyDescent="0.2">
      <c r="A183" s="122">
        <v>47300</v>
      </c>
      <c r="B183" s="121"/>
    </row>
    <row r="184" spans="1:2" x14ac:dyDescent="0.2">
      <c r="A184" s="122">
        <v>47331</v>
      </c>
      <c r="B184" s="121"/>
    </row>
    <row r="185" spans="1:2" x14ac:dyDescent="0.2">
      <c r="A185" s="122">
        <v>47362</v>
      </c>
      <c r="B185" s="121"/>
    </row>
    <row r="186" spans="1:2" x14ac:dyDescent="0.2">
      <c r="A186" s="122">
        <v>47392</v>
      </c>
      <c r="B186" s="121"/>
    </row>
    <row r="187" spans="1:2" x14ac:dyDescent="0.2">
      <c r="A187" s="122">
        <v>47423</v>
      </c>
      <c r="B187" s="121"/>
    </row>
    <row r="188" spans="1:2" x14ac:dyDescent="0.2">
      <c r="A188" s="122">
        <v>47453</v>
      </c>
      <c r="B188" s="121"/>
    </row>
    <row r="189" spans="1:2" x14ac:dyDescent="0.2">
      <c r="A189" s="122">
        <v>47484</v>
      </c>
      <c r="B189" s="121"/>
    </row>
    <row r="190" spans="1:2" x14ac:dyDescent="0.2">
      <c r="A190" s="122">
        <v>47515</v>
      </c>
      <c r="B190" s="121"/>
    </row>
    <row r="191" spans="1:2" x14ac:dyDescent="0.2">
      <c r="A191" s="122">
        <v>47543</v>
      </c>
      <c r="B191" s="121"/>
    </row>
    <row r="192" spans="1:2" x14ac:dyDescent="0.2">
      <c r="A192" s="122">
        <v>47574</v>
      </c>
      <c r="B192" s="121"/>
    </row>
    <row r="193" spans="1:2" x14ac:dyDescent="0.2">
      <c r="A193" s="122">
        <v>47604</v>
      </c>
      <c r="B193" s="121"/>
    </row>
    <row r="194" spans="1:2" x14ac:dyDescent="0.2">
      <c r="A194" s="122">
        <v>47635</v>
      </c>
      <c r="B194" s="121"/>
    </row>
    <row r="195" spans="1:2" x14ac:dyDescent="0.2">
      <c r="A195" s="122">
        <v>47665</v>
      </c>
      <c r="B195" s="121"/>
    </row>
    <row r="196" spans="1:2" x14ac:dyDescent="0.2">
      <c r="A196" s="122">
        <v>47696</v>
      </c>
      <c r="B196" s="121"/>
    </row>
    <row r="197" spans="1:2" x14ac:dyDescent="0.2">
      <c r="A197" s="122">
        <v>47727</v>
      </c>
      <c r="B197" s="121"/>
    </row>
    <row r="198" spans="1:2" x14ac:dyDescent="0.2">
      <c r="A198" s="122">
        <v>47757</v>
      </c>
      <c r="B198" s="121"/>
    </row>
    <row r="199" spans="1:2" x14ac:dyDescent="0.2">
      <c r="A199" s="122">
        <v>47788</v>
      </c>
      <c r="B199" s="121"/>
    </row>
    <row r="200" spans="1:2" x14ac:dyDescent="0.2">
      <c r="A200" s="122">
        <v>47818</v>
      </c>
      <c r="B200" s="121"/>
    </row>
    <row r="201" spans="1:2" x14ac:dyDescent="0.2">
      <c r="A201" s="122">
        <v>47849</v>
      </c>
      <c r="B201" s="121"/>
    </row>
    <row r="202" spans="1:2" x14ac:dyDescent="0.2">
      <c r="A202" s="122">
        <v>47880</v>
      </c>
      <c r="B202" s="121"/>
    </row>
    <row r="203" spans="1:2" x14ac:dyDescent="0.2">
      <c r="A203" s="122">
        <v>47908</v>
      </c>
      <c r="B203" s="121"/>
    </row>
    <row r="204" spans="1:2" x14ac:dyDescent="0.2">
      <c r="A204" s="122">
        <v>47939</v>
      </c>
      <c r="B204" s="121"/>
    </row>
    <row r="205" spans="1:2" x14ac:dyDescent="0.2">
      <c r="A205" s="122">
        <v>47969</v>
      </c>
      <c r="B205" s="121"/>
    </row>
    <row r="206" spans="1:2" x14ac:dyDescent="0.2">
      <c r="A206" s="122">
        <v>48000</v>
      </c>
      <c r="B206" s="121"/>
    </row>
    <row r="207" spans="1:2" x14ac:dyDescent="0.2">
      <c r="A207" s="122">
        <v>48030</v>
      </c>
      <c r="B207" s="121"/>
    </row>
    <row r="208" spans="1:2" x14ac:dyDescent="0.2">
      <c r="A208" s="122">
        <v>48061</v>
      </c>
      <c r="B208" s="121"/>
    </row>
    <row r="209" spans="1:2" x14ac:dyDescent="0.2">
      <c r="A209" s="122">
        <v>48092</v>
      </c>
      <c r="B209" s="121"/>
    </row>
    <row r="210" spans="1:2" x14ac:dyDescent="0.2">
      <c r="A210" s="122">
        <v>48122</v>
      </c>
      <c r="B210" s="121"/>
    </row>
    <row r="211" spans="1:2" x14ac:dyDescent="0.2">
      <c r="A211" s="122">
        <v>48153</v>
      </c>
      <c r="B211" s="121"/>
    </row>
    <row r="212" spans="1:2" x14ac:dyDescent="0.2">
      <c r="A212" s="122">
        <v>48183</v>
      </c>
      <c r="B212" s="121"/>
    </row>
    <row r="213" spans="1:2" x14ac:dyDescent="0.2">
      <c r="A213" s="122">
        <v>48214</v>
      </c>
      <c r="B213" s="121"/>
    </row>
    <row r="214" spans="1:2" x14ac:dyDescent="0.2">
      <c r="A214" s="122">
        <v>48245</v>
      </c>
      <c r="B214" s="121"/>
    </row>
    <row r="215" spans="1:2" x14ac:dyDescent="0.2">
      <c r="A215" s="122">
        <v>48274</v>
      </c>
      <c r="B215" s="121"/>
    </row>
    <row r="216" spans="1:2" x14ac:dyDescent="0.2">
      <c r="A216" s="122">
        <v>48305</v>
      </c>
      <c r="B216" s="121"/>
    </row>
    <row r="217" spans="1:2" x14ac:dyDescent="0.2">
      <c r="A217" s="122">
        <v>48335</v>
      </c>
      <c r="B217" s="121"/>
    </row>
    <row r="218" spans="1:2" x14ac:dyDescent="0.2">
      <c r="A218" s="122">
        <v>48366</v>
      </c>
      <c r="B218" s="121"/>
    </row>
    <row r="219" spans="1:2" x14ac:dyDescent="0.2">
      <c r="A219" s="122">
        <v>48396</v>
      </c>
      <c r="B219" s="121"/>
    </row>
    <row r="220" spans="1:2" x14ac:dyDescent="0.2">
      <c r="A220" s="122">
        <v>48427</v>
      </c>
      <c r="B220" s="121"/>
    </row>
    <row r="221" spans="1:2" x14ac:dyDescent="0.2">
      <c r="A221" s="122">
        <v>48458</v>
      </c>
      <c r="B221" s="121"/>
    </row>
    <row r="222" spans="1:2" x14ac:dyDescent="0.2">
      <c r="A222" s="122">
        <v>48488</v>
      </c>
      <c r="B222" s="121"/>
    </row>
    <row r="223" spans="1:2" x14ac:dyDescent="0.2">
      <c r="A223" s="122">
        <v>48519</v>
      </c>
      <c r="B223" s="121"/>
    </row>
    <row r="224" spans="1:2" x14ac:dyDescent="0.2">
      <c r="A224" s="122">
        <v>48549</v>
      </c>
      <c r="B224" s="121"/>
    </row>
    <row r="225" spans="1:2" x14ac:dyDescent="0.2">
      <c r="A225" s="122">
        <v>48580</v>
      </c>
      <c r="B225" s="121"/>
    </row>
    <row r="226" spans="1:2" x14ac:dyDescent="0.2">
      <c r="A226" s="122">
        <v>48611</v>
      </c>
      <c r="B226" s="121"/>
    </row>
    <row r="227" spans="1:2" x14ac:dyDescent="0.2">
      <c r="A227" s="122">
        <v>48639</v>
      </c>
      <c r="B227" s="121"/>
    </row>
    <row r="228" spans="1:2" x14ac:dyDescent="0.2">
      <c r="A228" s="122">
        <v>48670</v>
      </c>
      <c r="B228" s="121"/>
    </row>
    <row r="229" spans="1:2" x14ac:dyDescent="0.2">
      <c r="A229" s="122">
        <v>48700</v>
      </c>
      <c r="B229" s="121"/>
    </row>
    <row r="230" spans="1:2" x14ac:dyDescent="0.2">
      <c r="A230" s="122">
        <v>48731</v>
      </c>
      <c r="B230" s="121"/>
    </row>
    <row r="231" spans="1:2" x14ac:dyDescent="0.2">
      <c r="A231" s="122">
        <v>48761</v>
      </c>
      <c r="B231" s="121"/>
    </row>
    <row r="232" spans="1:2" x14ac:dyDescent="0.2">
      <c r="A232" s="122">
        <v>48792</v>
      </c>
      <c r="B232" s="121"/>
    </row>
    <row r="233" spans="1:2" x14ac:dyDescent="0.2">
      <c r="A233" s="122">
        <v>48823</v>
      </c>
      <c r="B233" s="121"/>
    </row>
    <row r="234" spans="1:2" x14ac:dyDescent="0.2">
      <c r="A234" s="122">
        <v>48853</v>
      </c>
      <c r="B234" s="121"/>
    </row>
    <row r="235" spans="1:2" x14ac:dyDescent="0.2">
      <c r="A235" s="122">
        <v>48884</v>
      </c>
      <c r="B235" s="121"/>
    </row>
    <row r="236" spans="1:2" x14ac:dyDescent="0.2">
      <c r="A236" s="122">
        <v>48914</v>
      </c>
      <c r="B236" s="121"/>
    </row>
    <row r="237" spans="1:2" x14ac:dyDescent="0.2">
      <c r="A237" s="122">
        <v>48945</v>
      </c>
      <c r="B237" s="121"/>
    </row>
    <row r="238" spans="1:2" x14ac:dyDescent="0.2">
      <c r="A238" s="122">
        <v>48976</v>
      </c>
      <c r="B238" s="121"/>
    </row>
    <row r="239" spans="1:2" x14ac:dyDescent="0.2">
      <c r="A239" s="122">
        <v>49004</v>
      </c>
      <c r="B239" s="121"/>
    </row>
    <row r="240" spans="1:2" x14ac:dyDescent="0.2">
      <c r="A240" s="122">
        <v>49035</v>
      </c>
      <c r="B240" s="121"/>
    </row>
    <row r="241" spans="1:2" x14ac:dyDescent="0.2">
      <c r="A241" s="122">
        <v>49065</v>
      </c>
      <c r="B241" s="121"/>
    </row>
    <row r="242" spans="1:2" x14ac:dyDescent="0.2">
      <c r="A242" s="122">
        <v>49096</v>
      </c>
      <c r="B242" s="121"/>
    </row>
    <row r="243" spans="1:2" x14ac:dyDescent="0.2">
      <c r="A243" s="122">
        <v>49126</v>
      </c>
      <c r="B243" s="121"/>
    </row>
    <row r="244" spans="1:2" x14ac:dyDescent="0.2">
      <c r="A244" s="122">
        <v>49157</v>
      </c>
      <c r="B244" s="121"/>
    </row>
    <row r="245" spans="1:2" x14ac:dyDescent="0.2">
      <c r="A245" s="122">
        <v>49188</v>
      </c>
      <c r="B245" s="121"/>
    </row>
    <row r="246" spans="1:2" x14ac:dyDescent="0.2">
      <c r="A246" s="122">
        <v>49218</v>
      </c>
      <c r="B246" s="121"/>
    </row>
    <row r="247" spans="1:2" x14ac:dyDescent="0.2">
      <c r="A247" s="122">
        <v>49249</v>
      </c>
      <c r="B247" s="121"/>
    </row>
    <row r="248" spans="1:2" x14ac:dyDescent="0.2">
      <c r="A248" s="122">
        <v>49279</v>
      </c>
      <c r="B248" s="121"/>
    </row>
    <row r="249" spans="1:2" x14ac:dyDescent="0.2">
      <c r="A249" s="122">
        <v>49310</v>
      </c>
      <c r="B249" s="121"/>
    </row>
    <row r="250" spans="1:2" x14ac:dyDescent="0.2">
      <c r="A250" s="122">
        <v>49341</v>
      </c>
      <c r="B250" s="121"/>
    </row>
    <row r="251" spans="1:2" x14ac:dyDescent="0.2">
      <c r="A251" s="122">
        <v>49369</v>
      </c>
      <c r="B251" s="121"/>
    </row>
    <row r="252" spans="1:2" x14ac:dyDescent="0.2">
      <c r="A252" s="122">
        <v>49400</v>
      </c>
      <c r="B252" s="121"/>
    </row>
    <row r="253" spans="1:2" x14ac:dyDescent="0.2">
      <c r="A253" s="122">
        <v>49430</v>
      </c>
      <c r="B253" s="121"/>
    </row>
    <row r="254" spans="1:2" x14ac:dyDescent="0.2">
      <c r="A254" s="122">
        <v>49461</v>
      </c>
      <c r="B254" s="121"/>
    </row>
    <row r="255" spans="1:2" x14ac:dyDescent="0.2">
      <c r="A255" s="122">
        <v>49491</v>
      </c>
      <c r="B255" s="121"/>
    </row>
    <row r="256" spans="1:2" x14ac:dyDescent="0.2">
      <c r="A256" s="120"/>
      <c r="B256" s="121"/>
    </row>
    <row r="257" spans="2:2" x14ac:dyDescent="0.2">
      <c r="B257" s="37"/>
    </row>
    <row r="258" spans="2:2" x14ac:dyDescent="0.2">
      <c r="B258" s="37"/>
    </row>
    <row r="259" spans="2:2" x14ac:dyDescent="0.2">
      <c r="B259" s="37"/>
    </row>
    <row r="260" spans="2:2" x14ac:dyDescent="0.2">
      <c r="B260" s="37"/>
    </row>
    <row r="261" spans="2:2" x14ac:dyDescent="0.2">
      <c r="B261" s="37"/>
    </row>
    <row r="262" spans="2:2" x14ac:dyDescent="0.2">
      <c r="B262" s="37"/>
    </row>
    <row r="263" spans="2:2" x14ac:dyDescent="0.2">
      <c r="B263" s="37"/>
    </row>
    <row r="264" spans="2:2" x14ac:dyDescent="0.2">
      <c r="B264" s="37"/>
    </row>
    <row r="265" spans="2:2" x14ac:dyDescent="0.2">
      <c r="B265" s="37"/>
    </row>
    <row r="266" spans="2:2" x14ac:dyDescent="0.2">
      <c r="B266" s="37"/>
    </row>
    <row r="267" spans="2:2" x14ac:dyDescent="0.2">
      <c r="B267" s="37"/>
    </row>
    <row r="268" spans="2:2" x14ac:dyDescent="0.2">
      <c r="B268" s="37"/>
    </row>
    <row r="269" spans="2:2" x14ac:dyDescent="0.2">
      <c r="B269" s="37"/>
    </row>
    <row r="270" spans="2:2" x14ac:dyDescent="0.2">
      <c r="B270" s="37"/>
    </row>
    <row r="271" spans="2:2" x14ac:dyDescent="0.2">
      <c r="B271" s="37"/>
    </row>
    <row r="272" spans="2:2" x14ac:dyDescent="0.2">
      <c r="B272" s="37"/>
    </row>
    <row r="273" spans="2:2" x14ac:dyDescent="0.2">
      <c r="B273" s="37"/>
    </row>
    <row r="274" spans="2:2" x14ac:dyDescent="0.2">
      <c r="B274" s="37"/>
    </row>
    <row r="275" spans="2:2" x14ac:dyDescent="0.2">
      <c r="B275" s="37"/>
    </row>
    <row r="276" spans="2:2" x14ac:dyDescent="0.2">
      <c r="B276" s="37"/>
    </row>
    <row r="277" spans="2:2" x14ac:dyDescent="0.2">
      <c r="B277" s="37"/>
    </row>
    <row r="278" spans="2:2" x14ac:dyDescent="0.2">
      <c r="B278" s="37"/>
    </row>
    <row r="279" spans="2:2" x14ac:dyDescent="0.2">
      <c r="B279" s="37"/>
    </row>
    <row r="280" spans="2:2" x14ac:dyDescent="0.2">
      <c r="B280" s="37"/>
    </row>
    <row r="281" spans="2:2" x14ac:dyDescent="0.2">
      <c r="B281" s="37"/>
    </row>
    <row r="282" spans="2:2" x14ac:dyDescent="0.2">
      <c r="B282" s="37"/>
    </row>
    <row r="283" spans="2:2" x14ac:dyDescent="0.2">
      <c r="B283" s="37"/>
    </row>
    <row r="284" spans="2:2" x14ac:dyDescent="0.2">
      <c r="B284" s="37"/>
    </row>
    <row r="285" spans="2:2" x14ac:dyDescent="0.2">
      <c r="B285" s="37"/>
    </row>
    <row r="286" spans="2:2" x14ac:dyDescent="0.2">
      <c r="B286" s="37"/>
    </row>
    <row r="287" spans="2:2" x14ac:dyDescent="0.2">
      <c r="B287" s="37"/>
    </row>
    <row r="288" spans="2:2" x14ac:dyDescent="0.2">
      <c r="B288" s="37"/>
    </row>
    <row r="289" spans="2:2" x14ac:dyDescent="0.2">
      <c r="B289" s="37"/>
    </row>
    <row r="290" spans="2:2" x14ac:dyDescent="0.2">
      <c r="B290" s="37"/>
    </row>
    <row r="291" spans="2:2" x14ac:dyDescent="0.2">
      <c r="B291" s="37"/>
    </row>
    <row r="292" spans="2:2" x14ac:dyDescent="0.2">
      <c r="B292" s="37"/>
    </row>
    <row r="293" spans="2:2" x14ac:dyDescent="0.2">
      <c r="B293" s="37"/>
    </row>
    <row r="294" spans="2:2" x14ac:dyDescent="0.2">
      <c r="B294" s="37"/>
    </row>
    <row r="295" spans="2:2" x14ac:dyDescent="0.2">
      <c r="B295" s="37"/>
    </row>
    <row r="296" spans="2:2" x14ac:dyDescent="0.2">
      <c r="B296" s="37"/>
    </row>
    <row r="297" spans="2:2" x14ac:dyDescent="0.2">
      <c r="B297" s="37"/>
    </row>
    <row r="298" spans="2:2" x14ac:dyDescent="0.2">
      <c r="B298" s="37"/>
    </row>
    <row r="299" spans="2:2" x14ac:dyDescent="0.2">
      <c r="B299" s="37"/>
    </row>
    <row r="300" spans="2:2" x14ac:dyDescent="0.2">
      <c r="B300" s="37"/>
    </row>
    <row r="301" spans="2:2" x14ac:dyDescent="0.2">
      <c r="B301" s="37"/>
    </row>
    <row r="302" spans="2:2" x14ac:dyDescent="0.2">
      <c r="B302" s="37"/>
    </row>
    <row r="303" spans="2:2" x14ac:dyDescent="0.2">
      <c r="B303" s="37"/>
    </row>
    <row r="304" spans="2:2" x14ac:dyDescent="0.2">
      <c r="B304" s="37"/>
    </row>
    <row r="305" spans="2:2" x14ac:dyDescent="0.2">
      <c r="B305" s="37"/>
    </row>
    <row r="306" spans="2:2" x14ac:dyDescent="0.2">
      <c r="B306" s="37"/>
    </row>
    <row r="307" spans="2:2" x14ac:dyDescent="0.2">
      <c r="B307" s="37"/>
    </row>
    <row r="308" spans="2:2" x14ac:dyDescent="0.2">
      <c r="B308" s="37"/>
    </row>
    <row r="309" spans="2:2" x14ac:dyDescent="0.2">
      <c r="B309" s="37"/>
    </row>
    <row r="310" spans="2:2" x14ac:dyDescent="0.2">
      <c r="B310" s="37"/>
    </row>
    <row r="311" spans="2:2" x14ac:dyDescent="0.2">
      <c r="B311" s="37"/>
    </row>
    <row r="312" spans="2:2" x14ac:dyDescent="0.2">
      <c r="B312" s="37"/>
    </row>
    <row r="313" spans="2:2" x14ac:dyDescent="0.2">
      <c r="B313" s="37"/>
    </row>
    <row r="314" spans="2:2" x14ac:dyDescent="0.2">
      <c r="B314" s="37"/>
    </row>
    <row r="315" spans="2:2" x14ac:dyDescent="0.2">
      <c r="B315" s="37"/>
    </row>
    <row r="316" spans="2:2" x14ac:dyDescent="0.2">
      <c r="B316" s="37"/>
    </row>
    <row r="317" spans="2:2" x14ac:dyDescent="0.2">
      <c r="B317" s="37"/>
    </row>
    <row r="318" spans="2:2" x14ac:dyDescent="0.2">
      <c r="B318" s="37"/>
    </row>
    <row r="319" spans="2:2" x14ac:dyDescent="0.2">
      <c r="B319" s="37"/>
    </row>
    <row r="320" spans="2:2" x14ac:dyDescent="0.2">
      <c r="B320" s="37"/>
    </row>
    <row r="321" spans="2:2" x14ac:dyDescent="0.2">
      <c r="B321" s="37"/>
    </row>
    <row r="322" spans="2:2" x14ac:dyDescent="0.2">
      <c r="B322" s="37"/>
    </row>
    <row r="323" spans="2:2" x14ac:dyDescent="0.2">
      <c r="B323" s="37"/>
    </row>
    <row r="324" spans="2:2" x14ac:dyDescent="0.2">
      <c r="B324" s="37"/>
    </row>
    <row r="325" spans="2:2" x14ac:dyDescent="0.2">
      <c r="B325" s="37"/>
    </row>
    <row r="326" spans="2:2" x14ac:dyDescent="0.2">
      <c r="B326" s="37"/>
    </row>
    <row r="327" spans="2:2" x14ac:dyDescent="0.2">
      <c r="B327" s="37"/>
    </row>
    <row r="328" spans="2:2" x14ac:dyDescent="0.2">
      <c r="B328" s="37"/>
    </row>
    <row r="329" spans="2:2" x14ac:dyDescent="0.2">
      <c r="B329" s="37"/>
    </row>
    <row r="330" spans="2:2" x14ac:dyDescent="0.2">
      <c r="B330" s="37"/>
    </row>
    <row r="331" spans="2:2" x14ac:dyDescent="0.2">
      <c r="B331" s="37"/>
    </row>
    <row r="332" spans="2:2" x14ac:dyDescent="0.2">
      <c r="B332" s="37"/>
    </row>
    <row r="333" spans="2:2" x14ac:dyDescent="0.2">
      <c r="B333" s="37"/>
    </row>
    <row r="334" spans="2:2" x14ac:dyDescent="0.2">
      <c r="B334" s="37"/>
    </row>
    <row r="335" spans="2:2" x14ac:dyDescent="0.2">
      <c r="B335" s="37"/>
    </row>
    <row r="336" spans="2:2" x14ac:dyDescent="0.2">
      <c r="B336" s="37"/>
    </row>
    <row r="337" spans="2:2" x14ac:dyDescent="0.2">
      <c r="B337" s="37"/>
    </row>
    <row r="338" spans="2:2" x14ac:dyDescent="0.2">
      <c r="B338" s="37"/>
    </row>
    <row r="339" spans="2:2" x14ac:dyDescent="0.2">
      <c r="B339" s="37"/>
    </row>
    <row r="340" spans="2:2" x14ac:dyDescent="0.2">
      <c r="B340" s="37"/>
    </row>
    <row r="341" spans="2:2" x14ac:dyDescent="0.2">
      <c r="B341" s="37"/>
    </row>
    <row r="342" spans="2:2" x14ac:dyDescent="0.2">
      <c r="B342" s="37"/>
    </row>
    <row r="343" spans="2:2" x14ac:dyDescent="0.2">
      <c r="B343" s="37"/>
    </row>
    <row r="344" spans="2:2" x14ac:dyDescent="0.2">
      <c r="B344" s="37"/>
    </row>
    <row r="345" spans="2:2" x14ac:dyDescent="0.2">
      <c r="B345" s="37"/>
    </row>
    <row r="346" spans="2:2" x14ac:dyDescent="0.2">
      <c r="B346" s="37"/>
    </row>
    <row r="347" spans="2:2" x14ac:dyDescent="0.2">
      <c r="B347" s="37"/>
    </row>
    <row r="348" spans="2:2" x14ac:dyDescent="0.2">
      <c r="B348" s="37"/>
    </row>
    <row r="349" spans="2:2" x14ac:dyDescent="0.2">
      <c r="B349" s="37"/>
    </row>
    <row r="350" spans="2:2" x14ac:dyDescent="0.2">
      <c r="B350" s="37"/>
    </row>
    <row r="351" spans="2:2" x14ac:dyDescent="0.2">
      <c r="B351" s="37"/>
    </row>
    <row r="352" spans="2:2" x14ac:dyDescent="0.2">
      <c r="B352" s="37"/>
    </row>
    <row r="353" spans="2:2" x14ac:dyDescent="0.2">
      <c r="B353" s="37"/>
    </row>
    <row r="354" spans="2:2" x14ac:dyDescent="0.2">
      <c r="B354" s="37"/>
    </row>
    <row r="355" spans="2:2" x14ac:dyDescent="0.2">
      <c r="B355" s="37"/>
    </row>
    <row r="356" spans="2:2" x14ac:dyDescent="0.2">
      <c r="B356" s="37"/>
    </row>
    <row r="357" spans="2:2" x14ac:dyDescent="0.2">
      <c r="B357" s="37"/>
    </row>
    <row r="358" spans="2:2" x14ac:dyDescent="0.2">
      <c r="B358" s="37"/>
    </row>
    <row r="359" spans="2:2" x14ac:dyDescent="0.2">
      <c r="B359" s="37"/>
    </row>
    <row r="360" spans="2:2" x14ac:dyDescent="0.2">
      <c r="B360" s="37"/>
    </row>
    <row r="361" spans="2:2" x14ac:dyDescent="0.2">
      <c r="B361" s="37"/>
    </row>
    <row r="362" spans="2:2" x14ac:dyDescent="0.2">
      <c r="B362" s="37"/>
    </row>
    <row r="363" spans="2:2" x14ac:dyDescent="0.2">
      <c r="B363" s="37"/>
    </row>
    <row r="364" spans="2:2" x14ac:dyDescent="0.2">
      <c r="B364" s="37"/>
    </row>
    <row r="365" spans="2:2" x14ac:dyDescent="0.2">
      <c r="B365" s="37"/>
    </row>
    <row r="366" spans="2:2" x14ac:dyDescent="0.2">
      <c r="B366" s="37"/>
    </row>
    <row r="367" spans="2:2" x14ac:dyDescent="0.2">
      <c r="B367" s="37"/>
    </row>
    <row r="368" spans="2:2" x14ac:dyDescent="0.2">
      <c r="B368" s="37"/>
    </row>
    <row r="369" spans="2:2" x14ac:dyDescent="0.2">
      <c r="B369" s="37"/>
    </row>
    <row r="370" spans="2:2" x14ac:dyDescent="0.2">
      <c r="B370" s="37"/>
    </row>
    <row r="371" spans="2:2" x14ac:dyDescent="0.2">
      <c r="B371" s="37"/>
    </row>
    <row r="372" spans="2:2" x14ac:dyDescent="0.2">
      <c r="B372" s="37"/>
    </row>
    <row r="373" spans="2:2" x14ac:dyDescent="0.2">
      <c r="B373" s="37"/>
    </row>
    <row r="374" spans="2:2" x14ac:dyDescent="0.2">
      <c r="B374" s="37"/>
    </row>
    <row r="375" spans="2:2" x14ac:dyDescent="0.2">
      <c r="B375" s="37"/>
    </row>
    <row r="376" spans="2:2" x14ac:dyDescent="0.2">
      <c r="B376" s="37"/>
    </row>
    <row r="377" spans="2:2" x14ac:dyDescent="0.2">
      <c r="B377" s="37"/>
    </row>
    <row r="378" spans="2:2" x14ac:dyDescent="0.2">
      <c r="B378" s="37"/>
    </row>
    <row r="379" spans="2:2" x14ac:dyDescent="0.2">
      <c r="B379" s="37"/>
    </row>
    <row r="380" spans="2:2" x14ac:dyDescent="0.2">
      <c r="B380" s="37"/>
    </row>
    <row r="381" spans="2:2" x14ac:dyDescent="0.2">
      <c r="B381" s="37"/>
    </row>
    <row r="382" spans="2:2" x14ac:dyDescent="0.2">
      <c r="B382" s="37"/>
    </row>
    <row r="383" spans="2:2" x14ac:dyDescent="0.2">
      <c r="B383" s="37"/>
    </row>
    <row r="384" spans="2:2" x14ac:dyDescent="0.2">
      <c r="B384" s="37"/>
    </row>
    <row r="385" spans="2:2" x14ac:dyDescent="0.2">
      <c r="B385" s="37"/>
    </row>
    <row r="386" spans="2:2" x14ac:dyDescent="0.2">
      <c r="B386" s="37"/>
    </row>
    <row r="387" spans="2:2" x14ac:dyDescent="0.2">
      <c r="B387" s="37"/>
    </row>
    <row r="388" spans="2:2" x14ac:dyDescent="0.2">
      <c r="B388" s="37"/>
    </row>
    <row r="389" spans="2:2" x14ac:dyDescent="0.2">
      <c r="B389" s="37"/>
    </row>
    <row r="390" spans="2:2" x14ac:dyDescent="0.2">
      <c r="B390" s="37"/>
    </row>
    <row r="391" spans="2:2" x14ac:dyDescent="0.2">
      <c r="B391" s="37"/>
    </row>
    <row r="392" spans="2:2" x14ac:dyDescent="0.2">
      <c r="B392" s="37"/>
    </row>
    <row r="393" spans="2:2" x14ac:dyDescent="0.2">
      <c r="B393" s="37"/>
    </row>
    <row r="394" spans="2:2" x14ac:dyDescent="0.2">
      <c r="B394" s="37"/>
    </row>
    <row r="395" spans="2:2" x14ac:dyDescent="0.2">
      <c r="B395" s="37"/>
    </row>
    <row r="396" spans="2:2" x14ac:dyDescent="0.2">
      <c r="B396" s="37"/>
    </row>
    <row r="397" spans="2:2" x14ac:dyDescent="0.2">
      <c r="B397" s="37"/>
    </row>
    <row r="398" spans="2:2" x14ac:dyDescent="0.2">
      <c r="B398" s="37"/>
    </row>
    <row r="399" spans="2:2" x14ac:dyDescent="0.2">
      <c r="B399" s="37"/>
    </row>
    <row r="400" spans="2:2" x14ac:dyDescent="0.2">
      <c r="B400" s="37"/>
    </row>
    <row r="401" spans="2:2" x14ac:dyDescent="0.2">
      <c r="B401" s="37"/>
    </row>
    <row r="402" spans="2:2" x14ac:dyDescent="0.2">
      <c r="B402" s="37"/>
    </row>
    <row r="403" spans="2:2" x14ac:dyDescent="0.2">
      <c r="B403" s="37"/>
    </row>
    <row r="404" spans="2:2" x14ac:dyDescent="0.2">
      <c r="B404" s="37"/>
    </row>
    <row r="405" spans="2:2" x14ac:dyDescent="0.2">
      <c r="B405" s="37"/>
    </row>
    <row r="406" spans="2:2" x14ac:dyDescent="0.2">
      <c r="B406" s="37"/>
    </row>
    <row r="407" spans="2:2" x14ac:dyDescent="0.2">
      <c r="B407" s="37"/>
    </row>
    <row r="408" spans="2:2" x14ac:dyDescent="0.2">
      <c r="B408" s="37"/>
    </row>
    <row r="409" spans="2:2" x14ac:dyDescent="0.2">
      <c r="B409" s="37"/>
    </row>
    <row r="410" spans="2:2" x14ac:dyDescent="0.2">
      <c r="B410" s="37"/>
    </row>
    <row r="411" spans="2:2" x14ac:dyDescent="0.2">
      <c r="B411" s="37"/>
    </row>
    <row r="412" spans="2:2" x14ac:dyDescent="0.2">
      <c r="B412" s="37"/>
    </row>
    <row r="413" spans="2:2" x14ac:dyDescent="0.2">
      <c r="B413" s="37"/>
    </row>
    <row r="414" spans="2:2" x14ac:dyDescent="0.2">
      <c r="B414" s="37"/>
    </row>
    <row r="415" spans="2:2" x14ac:dyDescent="0.2">
      <c r="B415" s="37"/>
    </row>
    <row r="416" spans="2:2" x14ac:dyDescent="0.2">
      <c r="B416" s="37"/>
    </row>
    <row r="417" spans="2:2" x14ac:dyDescent="0.2">
      <c r="B417" s="37"/>
    </row>
    <row r="418" spans="2:2" x14ac:dyDescent="0.2">
      <c r="B418" s="37"/>
    </row>
    <row r="419" spans="2:2" x14ac:dyDescent="0.2">
      <c r="B419" s="37"/>
    </row>
    <row r="420" spans="2:2" x14ac:dyDescent="0.2">
      <c r="B420" s="37"/>
    </row>
    <row r="421" spans="2:2" x14ac:dyDescent="0.2">
      <c r="B421" s="37"/>
    </row>
    <row r="422" spans="2:2" x14ac:dyDescent="0.2">
      <c r="B422" s="37"/>
    </row>
    <row r="423" spans="2:2" x14ac:dyDescent="0.2">
      <c r="B423" s="37"/>
    </row>
    <row r="424" spans="2:2" x14ac:dyDescent="0.2">
      <c r="B424" s="37"/>
    </row>
    <row r="425" spans="2:2" x14ac:dyDescent="0.2">
      <c r="B425" s="37"/>
    </row>
    <row r="426" spans="2:2" x14ac:dyDescent="0.2">
      <c r="B426" s="37"/>
    </row>
    <row r="427" spans="2:2" x14ac:dyDescent="0.2">
      <c r="B427" s="37"/>
    </row>
    <row r="428" spans="2:2" x14ac:dyDescent="0.2">
      <c r="B428" s="37"/>
    </row>
    <row r="429" spans="2:2" x14ac:dyDescent="0.2">
      <c r="B429" s="37"/>
    </row>
    <row r="430" spans="2:2" x14ac:dyDescent="0.2">
      <c r="B430" s="37"/>
    </row>
    <row r="431" spans="2:2" x14ac:dyDescent="0.2">
      <c r="B431" s="37"/>
    </row>
    <row r="432" spans="2:2" x14ac:dyDescent="0.2">
      <c r="B432" s="37"/>
    </row>
    <row r="433" spans="2:2" x14ac:dyDescent="0.2">
      <c r="B433" s="37"/>
    </row>
    <row r="434" spans="2:2" x14ac:dyDescent="0.2">
      <c r="B434" s="37"/>
    </row>
    <row r="435" spans="2:2" x14ac:dyDescent="0.2">
      <c r="B435" s="37"/>
    </row>
    <row r="436" spans="2:2" x14ac:dyDescent="0.2">
      <c r="B436" s="37"/>
    </row>
    <row r="437" spans="2:2" x14ac:dyDescent="0.2">
      <c r="B437" s="37"/>
    </row>
    <row r="438" spans="2:2" x14ac:dyDescent="0.2">
      <c r="B438" s="37"/>
    </row>
    <row r="439" spans="2:2" x14ac:dyDescent="0.2">
      <c r="B439" s="37"/>
    </row>
    <row r="440" spans="2:2" x14ac:dyDescent="0.2">
      <c r="B440" s="37"/>
    </row>
    <row r="441" spans="2:2" x14ac:dyDescent="0.2">
      <c r="B441" s="37"/>
    </row>
    <row r="442" spans="2:2" x14ac:dyDescent="0.2">
      <c r="B442" s="37"/>
    </row>
    <row r="443" spans="2:2" x14ac:dyDescent="0.2">
      <c r="B443" s="37"/>
    </row>
    <row r="444" spans="2:2" x14ac:dyDescent="0.2">
      <c r="B444" s="37"/>
    </row>
    <row r="445" spans="2:2" x14ac:dyDescent="0.2">
      <c r="B445" s="37"/>
    </row>
    <row r="446" spans="2:2" x14ac:dyDescent="0.2">
      <c r="B446" s="37"/>
    </row>
    <row r="447" spans="2:2" x14ac:dyDescent="0.2">
      <c r="B447" s="37"/>
    </row>
    <row r="448" spans="2:2" x14ac:dyDescent="0.2">
      <c r="B448" s="37"/>
    </row>
    <row r="449" spans="2:2" x14ac:dyDescent="0.2">
      <c r="B449" s="37"/>
    </row>
    <row r="450" spans="2:2" x14ac:dyDescent="0.2">
      <c r="B450" s="37"/>
    </row>
    <row r="451" spans="2:2" x14ac:dyDescent="0.2">
      <c r="B451" s="37"/>
    </row>
    <row r="452" spans="2:2" x14ac:dyDescent="0.2">
      <c r="B452" s="37"/>
    </row>
    <row r="453" spans="2:2" x14ac:dyDescent="0.2">
      <c r="B453" s="37"/>
    </row>
    <row r="454" spans="2:2" x14ac:dyDescent="0.2">
      <c r="B454" s="37"/>
    </row>
    <row r="455" spans="2:2" x14ac:dyDescent="0.2">
      <c r="B455" s="37"/>
    </row>
    <row r="456" spans="2:2" x14ac:dyDescent="0.2">
      <c r="B456" s="37"/>
    </row>
    <row r="457" spans="2:2" x14ac:dyDescent="0.2">
      <c r="B457" s="37"/>
    </row>
    <row r="458" spans="2:2" x14ac:dyDescent="0.2">
      <c r="B458" s="37"/>
    </row>
    <row r="459" spans="2:2" x14ac:dyDescent="0.2">
      <c r="B459" s="37"/>
    </row>
    <row r="460" spans="2:2" x14ac:dyDescent="0.2">
      <c r="B460" s="37"/>
    </row>
    <row r="461" spans="2:2" x14ac:dyDescent="0.2">
      <c r="B461" s="37"/>
    </row>
    <row r="462" spans="2:2" x14ac:dyDescent="0.2">
      <c r="B462" s="37"/>
    </row>
    <row r="463" spans="2:2" x14ac:dyDescent="0.2">
      <c r="B463" s="37"/>
    </row>
    <row r="464" spans="2:2" x14ac:dyDescent="0.2">
      <c r="B464" s="37"/>
    </row>
    <row r="465" spans="2:2" x14ac:dyDescent="0.2">
      <c r="B465" s="37"/>
    </row>
    <row r="466" spans="2:2" x14ac:dyDescent="0.2">
      <c r="B466" s="37"/>
    </row>
    <row r="467" spans="2:2" x14ac:dyDescent="0.2">
      <c r="B467" s="37"/>
    </row>
    <row r="468" spans="2:2" x14ac:dyDescent="0.2">
      <c r="B468" s="37"/>
    </row>
    <row r="469" spans="2:2" x14ac:dyDescent="0.2">
      <c r="B469" s="37"/>
    </row>
    <row r="470" spans="2:2" x14ac:dyDescent="0.2">
      <c r="B470" s="37"/>
    </row>
    <row r="471" spans="2:2" x14ac:dyDescent="0.2">
      <c r="B471" s="37"/>
    </row>
    <row r="472" spans="2:2" x14ac:dyDescent="0.2">
      <c r="B472" s="37"/>
    </row>
    <row r="473" spans="2:2" x14ac:dyDescent="0.2">
      <c r="B473" s="37"/>
    </row>
    <row r="474" spans="2:2" x14ac:dyDescent="0.2">
      <c r="B474" s="37"/>
    </row>
    <row r="475" spans="2:2" x14ac:dyDescent="0.2">
      <c r="B475" s="37"/>
    </row>
    <row r="476" spans="2:2" x14ac:dyDescent="0.2">
      <c r="B476" s="37"/>
    </row>
    <row r="477" spans="2:2" x14ac:dyDescent="0.2">
      <c r="B477" s="37"/>
    </row>
    <row r="478" spans="2:2" x14ac:dyDescent="0.2">
      <c r="B478" s="37"/>
    </row>
    <row r="479" spans="2:2" x14ac:dyDescent="0.2">
      <c r="B479" s="37"/>
    </row>
    <row r="480" spans="2:2" x14ac:dyDescent="0.2">
      <c r="B480" s="37"/>
    </row>
    <row r="481" spans="2:2" x14ac:dyDescent="0.2">
      <c r="B481" s="37"/>
    </row>
    <row r="482" spans="2:2" x14ac:dyDescent="0.2">
      <c r="B482" s="37"/>
    </row>
    <row r="483" spans="2:2" x14ac:dyDescent="0.2">
      <c r="B483" s="37"/>
    </row>
    <row r="484" spans="2:2" x14ac:dyDescent="0.2">
      <c r="B484" s="37"/>
    </row>
    <row r="485" spans="2:2" x14ac:dyDescent="0.2">
      <c r="B485" s="37"/>
    </row>
    <row r="486" spans="2:2" x14ac:dyDescent="0.2">
      <c r="B486" s="37"/>
    </row>
    <row r="487" spans="2:2" x14ac:dyDescent="0.2">
      <c r="B487" s="37"/>
    </row>
    <row r="488" spans="2:2" x14ac:dyDescent="0.2">
      <c r="B488" s="37"/>
    </row>
    <row r="489" spans="2:2" x14ac:dyDescent="0.2">
      <c r="B489" s="37"/>
    </row>
    <row r="490" spans="2:2" x14ac:dyDescent="0.2">
      <c r="B490" s="37"/>
    </row>
    <row r="491" spans="2:2" x14ac:dyDescent="0.2">
      <c r="B491" s="37"/>
    </row>
    <row r="492" spans="2:2" x14ac:dyDescent="0.2">
      <c r="B492" s="37"/>
    </row>
    <row r="493" spans="2:2" x14ac:dyDescent="0.2">
      <c r="B493" s="37"/>
    </row>
    <row r="494" spans="2:2" x14ac:dyDescent="0.2">
      <c r="B494" s="37"/>
    </row>
    <row r="495" spans="2:2" x14ac:dyDescent="0.2">
      <c r="B495" s="37"/>
    </row>
    <row r="496" spans="2:2" x14ac:dyDescent="0.2">
      <c r="B496" s="37"/>
    </row>
    <row r="497" spans="2:2" x14ac:dyDescent="0.2">
      <c r="B497" s="37"/>
    </row>
    <row r="498" spans="2:2" x14ac:dyDescent="0.2">
      <c r="B498" s="37"/>
    </row>
    <row r="499" spans="2:2" x14ac:dyDescent="0.2">
      <c r="B499" s="37"/>
    </row>
    <row r="500" spans="2:2" x14ac:dyDescent="0.2">
      <c r="B500" s="37"/>
    </row>
    <row r="501" spans="2:2" x14ac:dyDescent="0.2">
      <c r="B501" s="37"/>
    </row>
    <row r="502" spans="2:2" x14ac:dyDescent="0.2">
      <c r="B502" s="37"/>
    </row>
    <row r="503" spans="2:2" x14ac:dyDescent="0.2">
      <c r="B503" s="37"/>
    </row>
    <row r="504" spans="2:2" x14ac:dyDescent="0.2">
      <c r="B504" s="37"/>
    </row>
    <row r="505" spans="2:2" x14ac:dyDescent="0.2">
      <c r="B505" s="37"/>
    </row>
    <row r="506" spans="2:2" x14ac:dyDescent="0.2">
      <c r="B506" s="37"/>
    </row>
    <row r="507" spans="2:2" x14ac:dyDescent="0.2">
      <c r="B507" s="37"/>
    </row>
    <row r="508" spans="2:2" x14ac:dyDescent="0.2">
      <c r="B508" s="37"/>
    </row>
    <row r="509" spans="2:2" x14ac:dyDescent="0.2">
      <c r="B509" s="37"/>
    </row>
    <row r="510" spans="2:2" x14ac:dyDescent="0.2">
      <c r="B510" s="37"/>
    </row>
    <row r="511" spans="2:2" x14ac:dyDescent="0.2">
      <c r="B511" s="37"/>
    </row>
    <row r="512" spans="2:2" x14ac:dyDescent="0.2">
      <c r="B512" s="37"/>
    </row>
    <row r="513" spans="2:2" x14ac:dyDescent="0.2">
      <c r="B513" s="37"/>
    </row>
    <row r="514" spans="2:2" x14ac:dyDescent="0.2">
      <c r="B514" s="37"/>
    </row>
    <row r="515" spans="2:2" x14ac:dyDescent="0.2">
      <c r="B515" s="37"/>
    </row>
    <row r="516" spans="2:2" x14ac:dyDescent="0.2">
      <c r="B516" s="37"/>
    </row>
    <row r="517" spans="2:2" x14ac:dyDescent="0.2">
      <c r="B517" s="37"/>
    </row>
    <row r="518" spans="2:2" x14ac:dyDescent="0.2">
      <c r="B518" s="37"/>
    </row>
    <row r="519" spans="2:2" x14ac:dyDescent="0.2">
      <c r="B519" s="37"/>
    </row>
    <row r="520" spans="2:2" x14ac:dyDescent="0.2">
      <c r="B520" s="37"/>
    </row>
    <row r="521" spans="2:2" x14ac:dyDescent="0.2">
      <c r="B521" s="37"/>
    </row>
    <row r="522" spans="2:2" x14ac:dyDescent="0.2">
      <c r="B522" s="37"/>
    </row>
    <row r="523" spans="2:2" x14ac:dyDescent="0.2">
      <c r="B523" s="37"/>
    </row>
    <row r="524" spans="2:2" x14ac:dyDescent="0.2">
      <c r="B524" s="37"/>
    </row>
    <row r="525" spans="2:2" x14ac:dyDescent="0.2">
      <c r="B525" s="37"/>
    </row>
    <row r="526" spans="2:2" x14ac:dyDescent="0.2">
      <c r="B526" s="37"/>
    </row>
    <row r="527" spans="2:2" x14ac:dyDescent="0.2">
      <c r="B527" s="37"/>
    </row>
    <row r="528" spans="2:2" x14ac:dyDescent="0.2">
      <c r="B528" s="37"/>
    </row>
    <row r="529" spans="2:2" x14ac:dyDescent="0.2">
      <c r="B529" s="37"/>
    </row>
    <row r="530" spans="2:2" x14ac:dyDescent="0.2">
      <c r="B530" s="37"/>
    </row>
    <row r="531" spans="2:2" x14ac:dyDescent="0.2">
      <c r="B531" s="37"/>
    </row>
    <row r="532" spans="2:2" x14ac:dyDescent="0.2">
      <c r="B532" s="37"/>
    </row>
    <row r="533" spans="2:2" x14ac:dyDescent="0.2">
      <c r="B533" s="37"/>
    </row>
    <row r="534" spans="2:2" x14ac:dyDescent="0.2">
      <c r="B534" s="37"/>
    </row>
    <row r="535" spans="2:2" x14ac:dyDescent="0.2">
      <c r="B535" s="37"/>
    </row>
    <row r="536" spans="2:2" x14ac:dyDescent="0.2">
      <c r="B536" s="37"/>
    </row>
    <row r="537" spans="2:2" x14ac:dyDescent="0.2">
      <c r="B537" s="37"/>
    </row>
    <row r="538" spans="2:2" x14ac:dyDescent="0.2">
      <c r="B538" s="37"/>
    </row>
    <row r="539" spans="2:2" x14ac:dyDescent="0.2">
      <c r="B539" s="37"/>
    </row>
    <row r="540" spans="2:2" x14ac:dyDescent="0.2">
      <c r="B540" s="37"/>
    </row>
    <row r="541" spans="2:2" x14ac:dyDescent="0.2">
      <c r="B541" s="37"/>
    </row>
    <row r="542" spans="2:2" x14ac:dyDescent="0.2">
      <c r="B542" s="37"/>
    </row>
    <row r="543" spans="2:2" x14ac:dyDescent="0.2">
      <c r="B543" s="37"/>
    </row>
    <row r="544" spans="2:2" x14ac:dyDescent="0.2">
      <c r="B544" s="37"/>
    </row>
    <row r="545" spans="2:2" x14ac:dyDescent="0.2">
      <c r="B545" s="37"/>
    </row>
    <row r="546" spans="2:2" x14ac:dyDescent="0.2">
      <c r="B546" s="37"/>
    </row>
    <row r="547" spans="2:2" x14ac:dyDescent="0.2">
      <c r="B547" s="37"/>
    </row>
    <row r="548" spans="2:2" x14ac:dyDescent="0.2">
      <c r="B548" s="37"/>
    </row>
    <row r="549" spans="2:2" x14ac:dyDescent="0.2">
      <c r="B549" s="37"/>
    </row>
    <row r="550" spans="2:2" x14ac:dyDescent="0.2">
      <c r="B550" s="37"/>
    </row>
    <row r="551" spans="2:2" x14ac:dyDescent="0.2">
      <c r="B551" s="37"/>
    </row>
    <row r="552" spans="2:2" x14ac:dyDescent="0.2">
      <c r="B552" s="37"/>
    </row>
    <row r="553" spans="2:2" x14ac:dyDescent="0.2">
      <c r="B553" s="37"/>
    </row>
    <row r="554" spans="2:2" x14ac:dyDescent="0.2">
      <c r="B554" s="37"/>
    </row>
    <row r="555" spans="2:2" x14ac:dyDescent="0.2">
      <c r="B555" s="37"/>
    </row>
    <row r="556" spans="2:2" x14ac:dyDescent="0.2">
      <c r="B556" s="37"/>
    </row>
    <row r="557" spans="2:2" x14ac:dyDescent="0.2">
      <c r="B557" s="37"/>
    </row>
    <row r="558" spans="2:2" x14ac:dyDescent="0.2">
      <c r="B558" s="37"/>
    </row>
    <row r="559" spans="2:2" x14ac:dyDescent="0.2">
      <c r="B559" s="37"/>
    </row>
    <row r="560" spans="2:2" x14ac:dyDescent="0.2">
      <c r="B560" s="37"/>
    </row>
    <row r="561" spans="2:2" x14ac:dyDescent="0.2">
      <c r="B561" s="37"/>
    </row>
    <row r="562" spans="2:2" x14ac:dyDescent="0.2">
      <c r="B562" s="37"/>
    </row>
    <row r="563" spans="2:2" x14ac:dyDescent="0.2">
      <c r="B563" s="37"/>
    </row>
    <row r="564" spans="2:2" x14ac:dyDescent="0.2">
      <c r="B564" s="37"/>
    </row>
    <row r="565" spans="2:2" x14ac:dyDescent="0.2">
      <c r="B565" s="37"/>
    </row>
    <row r="566" spans="2:2" x14ac:dyDescent="0.2">
      <c r="B566" s="37"/>
    </row>
    <row r="567" spans="2:2" x14ac:dyDescent="0.2">
      <c r="B567" s="37"/>
    </row>
    <row r="568" spans="2:2" x14ac:dyDescent="0.2">
      <c r="B568" s="37"/>
    </row>
    <row r="569" spans="2:2" x14ac:dyDescent="0.2">
      <c r="B569" s="37"/>
    </row>
    <row r="570" spans="2:2" x14ac:dyDescent="0.2">
      <c r="B570" s="37"/>
    </row>
    <row r="571" spans="2:2" x14ac:dyDescent="0.2">
      <c r="B571" s="37"/>
    </row>
    <row r="572" spans="2:2" x14ac:dyDescent="0.2">
      <c r="B572" s="37"/>
    </row>
    <row r="573" spans="2:2" x14ac:dyDescent="0.2">
      <c r="B573" s="37"/>
    </row>
    <row r="574" spans="2:2" x14ac:dyDescent="0.2">
      <c r="B574" s="37"/>
    </row>
    <row r="575" spans="2:2" x14ac:dyDescent="0.2">
      <c r="B575" s="37"/>
    </row>
    <row r="576" spans="2:2" x14ac:dyDescent="0.2">
      <c r="B576" s="37"/>
    </row>
    <row r="577" spans="2:2" x14ac:dyDescent="0.2">
      <c r="B577" s="37"/>
    </row>
    <row r="578" spans="2:2" x14ac:dyDescent="0.2">
      <c r="B578" s="37"/>
    </row>
    <row r="579" spans="2:2" x14ac:dyDescent="0.2">
      <c r="B579" s="37"/>
    </row>
    <row r="580" spans="2:2" x14ac:dyDescent="0.2">
      <c r="B580" s="37"/>
    </row>
    <row r="581" spans="2:2" x14ac:dyDescent="0.2">
      <c r="B581" s="37"/>
    </row>
    <row r="582" spans="2:2" x14ac:dyDescent="0.2">
      <c r="B582" s="37"/>
    </row>
    <row r="583" spans="2:2" x14ac:dyDescent="0.2">
      <c r="B583" s="37"/>
    </row>
    <row r="584" spans="2:2" x14ac:dyDescent="0.2">
      <c r="B584" s="37"/>
    </row>
    <row r="585" spans="2:2" x14ac:dyDescent="0.2">
      <c r="B585" s="37"/>
    </row>
    <row r="586" spans="2:2" x14ac:dyDescent="0.2">
      <c r="B586" s="37"/>
    </row>
    <row r="587" spans="2:2" x14ac:dyDescent="0.2">
      <c r="B587" s="37"/>
    </row>
    <row r="588" spans="2:2" x14ac:dyDescent="0.2">
      <c r="B588" s="37"/>
    </row>
    <row r="589" spans="2:2" x14ac:dyDescent="0.2">
      <c r="B589" s="37"/>
    </row>
  </sheetData>
  <sheetProtection sheet="1" objects="1" scenarios="1"/>
  <phoneticPr fontId="0" type="noConversion"/>
  <pageMargins left="0.78740157480314965" right="0.78740157480314965" top="0.98425196850393704" bottom="0.98425196850393704" header="0.51181102362204722" footer="0.51181102362204722"/>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RETORNARDEBREAKEPPARAPAGINAINICIAL">
                <anchor moveWithCells="1" sizeWithCells="1">
                  <from>
                    <xdr:col>4</xdr:col>
                    <xdr:colOff>1038225</xdr:colOff>
                    <xdr:row>17</xdr:row>
                    <xdr:rowOff>123825</xdr:rowOff>
                  </from>
                  <to>
                    <xdr:col>5</xdr:col>
                    <xdr:colOff>781050</xdr:colOff>
                    <xdr:row>21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E104"/>
  <sheetViews>
    <sheetView tabSelected="1" workbookViewId="0">
      <selection activeCell="B4" sqref="B4"/>
    </sheetView>
  </sheetViews>
  <sheetFormatPr defaultRowHeight="12.75" x14ac:dyDescent="0.2"/>
  <cols>
    <col min="1" max="1" width="36.140625" bestFit="1" customWidth="1"/>
    <col min="2" max="2" width="26.42578125" bestFit="1" customWidth="1"/>
    <col min="3" max="3" width="26.5703125" style="24" customWidth="1"/>
  </cols>
  <sheetData>
    <row r="1" spans="1:5" ht="18.75" thickBot="1" x14ac:dyDescent="0.3">
      <c r="A1" s="263" t="s">
        <v>172</v>
      </c>
      <c r="B1" s="254" t="s">
        <v>171</v>
      </c>
      <c r="C1" s="255">
        <f>DRE!C6</f>
        <v>12900</v>
      </c>
      <c r="E1" s="254" t="s">
        <v>174</v>
      </c>
    </row>
    <row r="2" spans="1:5" ht="13.5" thickBot="1" x14ac:dyDescent="0.25">
      <c r="A2" s="264" t="s">
        <v>173</v>
      </c>
      <c r="B2" s="261">
        <f>SUM(B4:B67)</f>
        <v>0</v>
      </c>
      <c r="C2" s="145"/>
      <c r="E2" s="254" t="s">
        <v>175</v>
      </c>
    </row>
    <row r="3" spans="1:5" s="25" customFormat="1" x14ac:dyDescent="0.2">
      <c r="A3" s="262" t="s">
        <v>170</v>
      </c>
      <c r="B3" s="220" t="s">
        <v>22</v>
      </c>
      <c r="C3" s="146"/>
    </row>
    <row r="4" spans="1:5" x14ac:dyDescent="0.2">
      <c r="A4" s="245">
        <f>LISTA!B5</f>
        <v>0</v>
      </c>
      <c r="B4" s="198">
        <f>LISTA!K5</f>
        <v>0</v>
      </c>
      <c r="C4" s="257"/>
    </row>
    <row r="5" spans="1:5" x14ac:dyDescent="0.2">
      <c r="A5" s="245">
        <f>LISTA!B6</f>
        <v>0</v>
      </c>
      <c r="B5" s="198">
        <f>LISTA!K6</f>
        <v>0</v>
      </c>
      <c r="C5" s="17"/>
    </row>
    <row r="6" spans="1:5" x14ac:dyDescent="0.2">
      <c r="A6" s="245">
        <f>LISTA!B7</f>
        <v>0</v>
      </c>
      <c r="B6" s="198">
        <f>LISTA!K7</f>
        <v>0</v>
      </c>
      <c r="C6" s="17"/>
    </row>
    <row r="7" spans="1:5" x14ac:dyDescent="0.2">
      <c r="A7" s="245">
        <f>LISTA!B8</f>
        <v>0</v>
      </c>
      <c r="B7" s="198">
        <f>LISTA!K8</f>
        <v>0</v>
      </c>
      <c r="C7" s="17"/>
    </row>
    <row r="8" spans="1:5" x14ac:dyDescent="0.2">
      <c r="A8" s="245">
        <f>LISTA!B9</f>
        <v>0</v>
      </c>
      <c r="B8" s="198">
        <f>LISTA!K9</f>
        <v>0</v>
      </c>
      <c r="C8" s="17"/>
    </row>
    <row r="9" spans="1:5" x14ac:dyDescent="0.2">
      <c r="A9" s="245">
        <f>LISTA!B10</f>
        <v>0</v>
      </c>
      <c r="B9" s="198">
        <f>LISTA!K10</f>
        <v>0</v>
      </c>
      <c r="C9" s="17"/>
    </row>
    <row r="10" spans="1:5" x14ac:dyDescent="0.2">
      <c r="A10" s="245">
        <f>LISTA!B11</f>
        <v>0</v>
      </c>
      <c r="B10" s="198">
        <f>LISTA!K11</f>
        <v>0</v>
      </c>
      <c r="C10" s="17"/>
    </row>
    <row r="11" spans="1:5" x14ac:dyDescent="0.2">
      <c r="A11" s="245">
        <f>LISTA!B12</f>
        <v>0</v>
      </c>
      <c r="B11" s="198">
        <f>LISTA!K12</f>
        <v>0</v>
      </c>
      <c r="C11" s="17"/>
    </row>
    <row r="12" spans="1:5" x14ac:dyDescent="0.2">
      <c r="A12" s="245">
        <f>LISTA!B13</f>
        <v>0</v>
      </c>
      <c r="B12" s="198">
        <f>LISTA!K13</f>
        <v>0</v>
      </c>
      <c r="C12" s="17"/>
    </row>
    <row r="13" spans="1:5" x14ac:dyDescent="0.2">
      <c r="A13" s="245">
        <f>LISTA!B14</f>
        <v>0</v>
      </c>
      <c r="B13" s="198">
        <f>LISTA!K14</f>
        <v>0</v>
      </c>
      <c r="C13" s="17"/>
    </row>
    <row r="14" spans="1:5" x14ac:dyDescent="0.2">
      <c r="A14" s="245">
        <f>LISTA!B15</f>
        <v>0</v>
      </c>
      <c r="B14" s="198">
        <f>LISTA!K15</f>
        <v>0</v>
      </c>
      <c r="C14" s="17"/>
    </row>
    <row r="15" spans="1:5" x14ac:dyDescent="0.2">
      <c r="A15" s="245">
        <f>LISTA!B16</f>
        <v>0</v>
      </c>
      <c r="B15" s="198">
        <f>LISTA!K16</f>
        <v>0</v>
      </c>
      <c r="C15" s="17"/>
    </row>
    <row r="16" spans="1:5" x14ac:dyDescent="0.2">
      <c r="A16" s="245">
        <f>LISTA!B17</f>
        <v>0</v>
      </c>
      <c r="B16" s="198">
        <f>LISTA!K17</f>
        <v>0</v>
      </c>
      <c r="C16" s="17"/>
    </row>
    <row r="17" spans="1:3" x14ac:dyDescent="0.2">
      <c r="A17" s="245">
        <f>LISTA!B18</f>
        <v>0</v>
      </c>
      <c r="B17" s="198">
        <f>LISTA!K18</f>
        <v>0</v>
      </c>
      <c r="C17" s="17"/>
    </row>
    <row r="18" spans="1:3" x14ac:dyDescent="0.2">
      <c r="A18" s="245">
        <f>LISTA!B19</f>
        <v>0</v>
      </c>
      <c r="B18" s="198">
        <f>LISTA!K19</f>
        <v>0</v>
      </c>
      <c r="C18" s="17"/>
    </row>
    <row r="19" spans="1:3" x14ac:dyDescent="0.2">
      <c r="A19" s="245">
        <f>LISTA!B20</f>
        <v>0</v>
      </c>
      <c r="B19" s="198">
        <f>LISTA!K20</f>
        <v>0</v>
      </c>
      <c r="C19" s="17"/>
    </row>
    <row r="20" spans="1:3" x14ac:dyDescent="0.2">
      <c r="A20" s="245">
        <f>LISTA!B21</f>
        <v>0</v>
      </c>
      <c r="B20" s="198">
        <f>LISTA!K21</f>
        <v>0</v>
      </c>
      <c r="C20" s="17"/>
    </row>
    <row r="21" spans="1:3" x14ac:dyDescent="0.2">
      <c r="A21" s="245">
        <f>LISTA!B22</f>
        <v>0</v>
      </c>
      <c r="B21" s="198">
        <f>LISTA!K22</f>
        <v>0</v>
      </c>
      <c r="C21" s="17"/>
    </row>
    <row r="22" spans="1:3" x14ac:dyDescent="0.2">
      <c r="A22" s="245">
        <f>LISTA!B23</f>
        <v>0</v>
      </c>
      <c r="B22" s="198">
        <f>LISTA!K23</f>
        <v>0</v>
      </c>
      <c r="C22" s="17"/>
    </row>
    <row r="23" spans="1:3" x14ac:dyDescent="0.2">
      <c r="A23" s="245">
        <f>LISTA!B24</f>
        <v>0</v>
      </c>
      <c r="B23" s="198">
        <f>LISTA!K24</f>
        <v>0</v>
      </c>
      <c r="C23" s="17"/>
    </row>
    <row r="24" spans="1:3" x14ac:dyDescent="0.2">
      <c r="A24" s="245">
        <f>LISTA!B25</f>
        <v>0</v>
      </c>
      <c r="B24" s="198">
        <f>LISTA!K25</f>
        <v>0</v>
      </c>
      <c r="C24" s="17"/>
    </row>
    <row r="25" spans="1:3" x14ac:dyDescent="0.2">
      <c r="A25" s="245">
        <f>LISTA!B26</f>
        <v>0</v>
      </c>
      <c r="B25" s="198">
        <f>LISTA!K26</f>
        <v>0</v>
      </c>
      <c r="C25" s="17"/>
    </row>
    <row r="26" spans="1:3" x14ac:dyDescent="0.2">
      <c r="A26" s="245">
        <f>LISTA!B27</f>
        <v>0</v>
      </c>
      <c r="B26" s="198">
        <f>LISTA!K27</f>
        <v>0</v>
      </c>
      <c r="C26" s="17"/>
    </row>
    <row r="27" spans="1:3" x14ac:dyDescent="0.2">
      <c r="A27" s="245">
        <f>LISTA!B28</f>
        <v>0</v>
      </c>
      <c r="B27" s="198">
        <f>LISTA!K28</f>
        <v>0</v>
      </c>
      <c r="C27" s="17"/>
    </row>
    <row r="28" spans="1:3" x14ac:dyDescent="0.2">
      <c r="A28" s="245">
        <f>LISTA!B29</f>
        <v>0</v>
      </c>
      <c r="B28" s="198">
        <f>LISTA!K29</f>
        <v>0</v>
      </c>
      <c r="C28" s="17"/>
    </row>
    <row r="29" spans="1:3" x14ac:dyDescent="0.2">
      <c r="A29" s="245">
        <f>LISTA!B30</f>
        <v>0</v>
      </c>
      <c r="B29" s="198">
        <f>LISTA!K30</f>
        <v>0</v>
      </c>
      <c r="C29" s="17"/>
    </row>
    <row r="30" spans="1:3" x14ac:dyDescent="0.2">
      <c r="A30" s="245">
        <f>LISTA!B31</f>
        <v>0</v>
      </c>
      <c r="B30" s="198">
        <f>LISTA!K31</f>
        <v>0</v>
      </c>
      <c r="C30" s="17"/>
    </row>
    <row r="31" spans="1:3" x14ac:dyDescent="0.2">
      <c r="A31" s="245">
        <f>LISTA!B32</f>
        <v>0</v>
      </c>
      <c r="B31" s="198">
        <f>LISTA!K32</f>
        <v>0</v>
      </c>
      <c r="C31" s="17"/>
    </row>
    <row r="32" spans="1:3" x14ac:dyDescent="0.2">
      <c r="A32" s="245">
        <f>LISTA!B33</f>
        <v>0</v>
      </c>
      <c r="B32" s="198">
        <f>LISTA!K33</f>
        <v>0</v>
      </c>
      <c r="C32" s="17"/>
    </row>
    <row r="33" spans="1:3" x14ac:dyDescent="0.2">
      <c r="A33" s="245">
        <f>LISTA!B34</f>
        <v>0</v>
      </c>
      <c r="B33" s="198">
        <f>LISTA!K34</f>
        <v>0</v>
      </c>
      <c r="C33" s="17"/>
    </row>
    <row r="34" spans="1:3" x14ac:dyDescent="0.2">
      <c r="A34" s="245">
        <f>LISTA!B35</f>
        <v>0</v>
      </c>
      <c r="B34" s="198">
        <f>LISTA!K35</f>
        <v>0</v>
      </c>
      <c r="C34" s="17"/>
    </row>
    <row r="35" spans="1:3" x14ac:dyDescent="0.2">
      <c r="A35" s="245">
        <f>LISTA!B36</f>
        <v>0</v>
      </c>
      <c r="B35" s="198">
        <f>LISTA!K36</f>
        <v>0</v>
      </c>
      <c r="C35" s="17"/>
    </row>
    <row r="36" spans="1:3" x14ac:dyDescent="0.2">
      <c r="A36" s="245">
        <f>LISTA!B37</f>
        <v>0</v>
      </c>
      <c r="B36" s="198">
        <f>LISTA!K37</f>
        <v>0</v>
      </c>
      <c r="C36" s="17"/>
    </row>
    <row r="37" spans="1:3" x14ac:dyDescent="0.2">
      <c r="A37" s="245">
        <f>LISTA!B38</f>
        <v>0</v>
      </c>
      <c r="B37" s="198">
        <f>LISTA!K38</f>
        <v>0</v>
      </c>
      <c r="C37" s="17"/>
    </row>
    <row r="38" spans="1:3" x14ac:dyDescent="0.2">
      <c r="A38" s="245">
        <f>LISTA!B39</f>
        <v>0</v>
      </c>
      <c r="B38" s="198">
        <f>LISTA!K39</f>
        <v>0</v>
      </c>
      <c r="C38" s="17"/>
    </row>
    <row r="39" spans="1:3" x14ac:dyDescent="0.2">
      <c r="A39" s="245">
        <f>LISTA!B40</f>
        <v>0</v>
      </c>
      <c r="B39" s="198">
        <f>LISTA!K40</f>
        <v>0</v>
      </c>
      <c r="C39" s="17"/>
    </row>
    <row r="40" spans="1:3" x14ac:dyDescent="0.2">
      <c r="A40" s="245">
        <f>LISTA!B41</f>
        <v>0</v>
      </c>
      <c r="B40" s="198">
        <f>LISTA!K41</f>
        <v>0</v>
      </c>
      <c r="C40" s="17"/>
    </row>
    <row r="41" spans="1:3" x14ac:dyDescent="0.2">
      <c r="A41" s="245">
        <f>LISTA!B42</f>
        <v>0</v>
      </c>
      <c r="B41" s="198">
        <f>LISTA!K42</f>
        <v>0</v>
      </c>
      <c r="C41" s="17"/>
    </row>
    <row r="42" spans="1:3" x14ac:dyDescent="0.2">
      <c r="A42" s="245">
        <f>LISTA!B43</f>
        <v>0</v>
      </c>
      <c r="B42" s="198">
        <f>LISTA!K43</f>
        <v>0</v>
      </c>
      <c r="C42" s="17"/>
    </row>
    <row r="43" spans="1:3" x14ac:dyDescent="0.2">
      <c r="A43" s="245">
        <f>LISTA!B44</f>
        <v>0</v>
      </c>
      <c r="B43" s="198">
        <f>LISTA!K44</f>
        <v>0</v>
      </c>
      <c r="C43" s="17"/>
    </row>
    <row r="44" spans="1:3" x14ac:dyDescent="0.2">
      <c r="A44" s="245">
        <f>LISTA!B45</f>
        <v>0</v>
      </c>
      <c r="B44" s="198">
        <f>LISTA!K45</f>
        <v>0</v>
      </c>
      <c r="C44" s="17"/>
    </row>
    <row r="45" spans="1:3" x14ac:dyDescent="0.2">
      <c r="A45" s="245">
        <f>LISTA!B46</f>
        <v>0</v>
      </c>
      <c r="B45" s="198">
        <f>LISTA!K46</f>
        <v>0</v>
      </c>
      <c r="C45" s="17"/>
    </row>
    <row r="46" spans="1:3" x14ac:dyDescent="0.2">
      <c r="A46" s="245">
        <f>LISTA!B47</f>
        <v>0</v>
      </c>
      <c r="B46" s="198">
        <f>LISTA!K47</f>
        <v>0</v>
      </c>
      <c r="C46" s="17"/>
    </row>
    <row r="47" spans="1:3" x14ac:dyDescent="0.2">
      <c r="A47" s="245">
        <f>LISTA!B48</f>
        <v>0</v>
      </c>
      <c r="B47" s="198">
        <f>LISTA!K48</f>
        <v>0</v>
      </c>
      <c r="C47" s="17"/>
    </row>
    <row r="48" spans="1:3" x14ac:dyDescent="0.2">
      <c r="A48" s="245">
        <f>LISTA!B49</f>
        <v>0</v>
      </c>
      <c r="B48" s="198">
        <f>LISTA!K49</f>
        <v>0</v>
      </c>
      <c r="C48" s="17"/>
    </row>
    <row r="49" spans="1:3" x14ac:dyDescent="0.2">
      <c r="A49" s="245">
        <f>LISTA!B50</f>
        <v>0</v>
      </c>
      <c r="B49" s="198">
        <f>LISTA!K50</f>
        <v>0</v>
      </c>
      <c r="C49" s="17"/>
    </row>
    <row r="50" spans="1:3" x14ac:dyDescent="0.2">
      <c r="A50" s="245">
        <f>LISTA!B51</f>
        <v>0</v>
      </c>
      <c r="B50" s="198">
        <f>LISTA!K51</f>
        <v>0</v>
      </c>
      <c r="C50" s="17"/>
    </row>
    <row r="51" spans="1:3" x14ac:dyDescent="0.2">
      <c r="A51" s="245">
        <f>LISTA!B52</f>
        <v>0</v>
      </c>
      <c r="B51" s="198">
        <f>LISTA!K52</f>
        <v>0</v>
      </c>
      <c r="C51" s="17"/>
    </row>
    <row r="52" spans="1:3" x14ac:dyDescent="0.2">
      <c r="A52" s="245">
        <f>LISTA!B53</f>
        <v>0</v>
      </c>
      <c r="B52" s="198">
        <f>LISTA!K53</f>
        <v>0</v>
      </c>
      <c r="C52" s="17"/>
    </row>
    <row r="53" spans="1:3" x14ac:dyDescent="0.2">
      <c r="A53" s="245">
        <f>LISTA!B54</f>
        <v>0</v>
      </c>
      <c r="B53" s="198">
        <f>LISTA!K54</f>
        <v>0</v>
      </c>
      <c r="C53" s="17"/>
    </row>
    <row r="54" spans="1:3" x14ac:dyDescent="0.2">
      <c r="A54" s="245">
        <f>LISTA!B55</f>
        <v>0</v>
      </c>
      <c r="B54" s="198">
        <f>LISTA!K55</f>
        <v>0</v>
      </c>
      <c r="C54" s="17"/>
    </row>
    <row r="55" spans="1:3" x14ac:dyDescent="0.2">
      <c r="A55" s="245">
        <f>LISTA!B56</f>
        <v>0</v>
      </c>
      <c r="B55" s="198">
        <f>LISTA!K56</f>
        <v>0</v>
      </c>
      <c r="C55" s="17"/>
    </row>
    <row r="56" spans="1:3" x14ac:dyDescent="0.2">
      <c r="A56" s="245">
        <f>LISTA!B57</f>
        <v>0</v>
      </c>
      <c r="B56" s="198">
        <f>LISTA!K57</f>
        <v>0</v>
      </c>
      <c r="C56" s="17"/>
    </row>
    <row r="57" spans="1:3" x14ac:dyDescent="0.2">
      <c r="A57" s="245">
        <f>LISTA!B58</f>
        <v>0</v>
      </c>
      <c r="B57" s="198">
        <f>LISTA!K58</f>
        <v>0</v>
      </c>
      <c r="C57" s="17"/>
    </row>
    <row r="58" spans="1:3" x14ac:dyDescent="0.2">
      <c r="A58" s="245">
        <f>LISTA!B59</f>
        <v>0</v>
      </c>
      <c r="B58" s="198">
        <f>LISTA!K59</f>
        <v>0</v>
      </c>
      <c r="C58" s="17"/>
    </row>
    <row r="59" spans="1:3" x14ac:dyDescent="0.2">
      <c r="A59" s="245">
        <f>LISTA!B60</f>
        <v>0</v>
      </c>
      <c r="B59" s="198">
        <f>LISTA!K60</f>
        <v>0</v>
      </c>
      <c r="C59" s="17"/>
    </row>
    <row r="60" spans="1:3" x14ac:dyDescent="0.2">
      <c r="A60" s="245">
        <f>LISTA!B61</f>
        <v>0</v>
      </c>
      <c r="B60" s="198">
        <f>LISTA!K61</f>
        <v>0</v>
      </c>
      <c r="C60" s="17"/>
    </row>
    <row r="61" spans="1:3" x14ac:dyDescent="0.2">
      <c r="A61" s="245">
        <f>LISTA!B62</f>
        <v>0</v>
      </c>
      <c r="B61" s="198">
        <f>LISTA!K62</f>
        <v>0</v>
      </c>
      <c r="C61" s="17"/>
    </row>
    <row r="62" spans="1:3" x14ac:dyDescent="0.2">
      <c r="A62" s="245">
        <f>LISTA!B63</f>
        <v>0</v>
      </c>
      <c r="B62" s="198">
        <f>LISTA!K63</f>
        <v>0</v>
      </c>
      <c r="C62" s="17"/>
    </row>
    <row r="63" spans="1:3" x14ac:dyDescent="0.2">
      <c r="A63" s="245">
        <f>LISTA!B64</f>
        <v>0</v>
      </c>
      <c r="B63" s="198">
        <f>LISTA!K64</f>
        <v>0</v>
      </c>
      <c r="C63" s="17"/>
    </row>
    <row r="64" spans="1:3" x14ac:dyDescent="0.2">
      <c r="A64" s="245">
        <f>LISTA!B65</f>
        <v>0</v>
      </c>
      <c r="B64" s="198">
        <f>LISTA!K65</f>
        <v>0</v>
      </c>
      <c r="C64" s="17"/>
    </row>
    <row r="65" spans="1:3" x14ac:dyDescent="0.2">
      <c r="A65" s="245">
        <f>LISTA!B66</f>
        <v>0</v>
      </c>
      <c r="B65" s="198">
        <f>LISTA!K66</f>
        <v>0</v>
      </c>
      <c r="C65" s="17"/>
    </row>
    <row r="66" spans="1:3" x14ac:dyDescent="0.2">
      <c r="A66" s="245">
        <f>LISTA!B67</f>
        <v>0</v>
      </c>
      <c r="B66" s="198">
        <f>LISTA!K67</f>
        <v>0</v>
      </c>
      <c r="C66" s="17"/>
    </row>
    <row r="67" spans="1:3" x14ac:dyDescent="0.2">
      <c r="A67" s="245">
        <f>LISTA!B68</f>
        <v>0</v>
      </c>
      <c r="B67" s="198">
        <f>LISTA!K68</f>
        <v>0</v>
      </c>
      <c r="C67" s="17"/>
    </row>
    <row r="68" spans="1:3" x14ac:dyDescent="0.2">
      <c r="A68" s="245">
        <f>LISTA!B69</f>
        <v>0</v>
      </c>
      <c r="B68" s="198">
        <f>LISTA!K69</f>
        <v>0</v>
      </c>
    </row>
    <row r="69" spans="1:3" x14ac:dyDescent="0.2">
      <c r="A69" s="245">
        <f>LISTA!B70</f>
        <v>0</v>
      </c>
      <c r="B69" s="198">
        <f>LISTA!K70</f>
        <v>0</v>
      </c>
    </row>
    <row r="70" spans="1:3" x14ac:dyDescent="0.2">
      <c r="A70" s="245">
        <f>LISTA!B71</f>
        <v>0</v>
      </c>
      <c r="B70" s="198">
        <f>LISTA!K71</f>
        <v>0</v>
      </c>
    </row>
    <row r="71" spans="1:3" x14ac:dyDescent="0.2">
      <c r="A71" s="245">
        <f>LISTA!B72</f>
        <v>0</v>
      </c>
      <c r="B71" s="198">
        <f>LISTA!K72</f>
        <v>0</v>
      </c>
    </row>
    <row r="72" spans="1:3" x14ac:dyDescent="0.2">
      <c r="A72" s="245">
        <f>LISTA!B73</f>
        <v>0</v>
      </c>
      <c r="B72" s="198">
        <f>LISTA!K73</f>
        <v>0</v>
      </c>
    </row>
    <row r="73" spans="1:3" x14ac:dyDescent="0.2">
      <c r="A73" s="245">
        <f>LISTA!B74</f>
        <v>0</v>
      </c>
      <c r="B73" s="198">
        <f>LISTA!K74</f>
        <v>0</v>
      </c>
    </row>
    <row r="74" spans="1:3" x14ac:dyDescent="0.2">
      <c r="A74" s="245">
        <f>LISTA!B75</f>
        <v>0</v>
      </c>
      <c r="B74" s="198">
        <f>LISTA!K75</f>
        <v>0</v>
      </c>
    </row>
    <row r="75" spans="1:3" x14ac:dyDescent="0.2">
      <c r="A75" s="245">
        <f>LISTA!B76</f>
        <v>0</v>
      </c>
      <c r="B75" s="198">
        <f>LISTA!K76</f>
        <v>0</v>
      </c>
    </row>
    <row r="76" spans="1:3" x14ac:dyDescent="0.2">
      <c r="A76" s="245">
        <f>LISTA!B77</f>
        <v>0</v>
      </c>
      <c r="B76" s="198">
        <f>LISTA!K77</f>
        <v>0</v>
      </c>
    </row>
    <row r="77" spans="1:3" x14ac:dyDescent="0.2">
      <c r="A77" s="245">
        <f>LISTA!B78</f>
        <v>0</v>
      </c>
      <c r="B77" s="198">
        <f>LISTA!K78</f>
        <v>0</v>
      </c>
    </row>
    <row r="78" spans="1:3" x14ac:dyDescent="0.2">
      <c r="A78" s="245">
        <f>LISTA!B79</f>
        <v>0</v>
      </c>
      <c r="B78" s="198">
        <f>LISTA!K79</f>
        <v>0</v>
      </c>
    </row>
    <row r="79" spans="1:3" x14ac:dyDescent="0.2">
      <c r="A79" s="245">
        <f>LISTA!B80</f>
        <v>0</v>
      </c>
      <c r="B79" s="198">
        <f>LISTA!K80</f>
        <v>0</v>
      </c>
    </row>
    <row r="80" spans="1:3" x14ac:dyDescent="0.2">
      <c r="A80" s="245">
        <f>LISTA!B81</f>
        <v>0</v>
      </c>
      <c r="B80" s="198">
        <f>LISTA!K81</f>
        <v>0</v>
      </c>
    </row>
    <row r="81" spans="1:2" x14ac:dyDescent="0.2">
      <c r="A81" s="245">
        <f>LISTA!B82</f>
        <v>0</v>
      </c>
      <c r="B81" s="198">
        <f>LISTA!K82</f>
        <v>0</v>
      </c>
    </row>
    <row r="82" spans="1:2" x14ac:dyDescent="0.2">
      <c r="A82" s="245">
        <f>LISTA!B83</f>
        <v>0</v>
      </c>
      <c r="B82" s="198">
        <f>LISTA!K83</f>
        <v>0</v>
      </c>
    </row>
    <row r="83" spans="1:2" x14ac:dyDescent="0.2">
      <c r="A83" s="245">
        <f>LISTA!B84</f>
        <v>0</v>
      </c>
      <c r="B83" s="198">
        <f>LISTA!K84</f>
        <v>0</v>
      </c>
    </row>
    <row r="84" spans="1:2" x14ac:dyDescent="0.2">
      <c r="A84" s="245">
        <f>LISTA!B85</f>
        <v>0</v>
      </c>
      <c r="B84" s="198">
        <f>LISTA!K85</f>
        <v>0</v>
      </c>
    </row>
    <row r="85" spans="1:2" x14ac:dyDescent="0.2">
      <c r="A85" s="245">
        <f>LISTA!B86</f>
        <v>0</v>
      </c>
      <c r="B85" s="198">
        <f>LISTA!K86</f>
        <v>0</v>
      </c>
    </row>
    <row r="86" spans="1:2" x14ac:dyDescent="0.2">
      <c r="A86" s="245">
        <f>LISTA!B87</f>
        <v>0</v>
      </c>
      <c r="B86" s="198">
        <f>LISTA!K87</f>
        <v>0</v>
      </c>
    </row>
    <row r="87" spans="1:2" x14ac:dyDescent="0.2">
      <c r="A87" s="245">
        <f>LISTA!B88</f>
        <v>0</v>
      </c>
      <c r="B87" s="198">
        <f>LISTA!K88</f>
        <v>0</v>
      </c>
    </row>
    <row r="88" spans="1:2" x14ac:dyDescent="0.2">
      <c r="A88" s="245">
        <f>LISTA!B89</f>
        <v>0</v>
      </c>
      <c r="B88" s="198">
        <f>LISTA!K89</f>
        <v>0</v>
      </c>
    </row>
    <row r="89" spans="1:2" x14ac:dyDescent="0.2">
      <c r="A89" s="245">
        <f>LISTA!B90</f>
        <v>0</v>
      </c>
      <c r="B89" s="198">
        <f>LISTA!K90</f>
        <v>0</v>
      </c>
    </row>
    <row r="90" spans="1:2" x14ac:dyDescent="0.2">
      <c r="A90" s="245">
        <f>LISTA!B91</f>
        <v>0</v>
      </c>
      <c r="B90" s="198">
        <f>LISTA!K91</f>
        <v>0</v>
      </c>
    </row>
    <row r="91" spans="1:2" x14ac:dyDescent="0.2">
      <c r="A91" s="245">
        <f>LISTA!B92</f>
        <v>0</v>
      </c>
      <c r="B91" s="198">
        <f>LISTA!K92</f>
        <v>0</v>
      </c>
    </row>
    <row r="92" spans="1:2" x14ac:dyDescent="0.2">
      <c r="A92" s="245">
        <f>LISTA!B93</f>
        <v>0</v>
      </c>
      <c r="B92" s="198">
        <f>LISTA!K93</f>
        <v>0</v>
      </c>
    </row>
    <row r="93" spans="1:2" x14ac:dyDescent="0.2">
      <c r="A93" s="245">
        <f>LISTA!B94</f>
        <v>0</v>
      </c>
      <c r="B93" s="198">
        <f>LISTA!K94</f>
        <v>0</v>
      </c>
    </row>
    <row r="94" spans="1:2" x14ac:dyDescent="0.2">
      <c r="A94" s="245">
        <f>LISTA!B95</f>
        <v>0</v>
      </c>
      <c r="B94" s="198">
        <f>LISTA!K95</f>
        <v>0</v>
      </c>
    </row>
    <row r="95" spans="1:2" x14ac:dyDescent="0.2">
      <c r="A95" s="245">
        <f>LISTA!B96</f>
        <v>0</v>
      </c>
      <c r="B95" s="198">
        <f>LISTA!K96</f>
        <v>0</v>
      </c>
    </row>
    <row r="96" spans="1:2" x14ac:dyDescent="0.2">
      <c r="A96" s="245">
        <f>LISTA!B97</f>
        <v>0</v>
      </c>
      <c r="B96" s="198">
        <f>LISTA!K97</f>
        <v>0</v>
      </c>
    </row>
    <row r="97" spans="1:2" x14ac:dyDescent="0.2">
      <c r="A97" s="245">
        <f>LISTA!B98</f>
        <v>0</v>
      </c>
      <c r="B97" s="198">
        <f>LISTA!K98</f>
        <v>0</v>
      </c>
    </row>
    <row r="98" spans="1:2" x14ac:dyDescent="0.2">
      <c r="A98" s="245">
        <f>LISTA!B99</f>
        <v>0</v>
      </c>
      <c r="B98" s="198">
        <f>LISTA!K99</f>
        <v>0</v>
      </c>
    </row>
    <row r="99" spans="1:2" x14ac:dyDescent="0.2">
      <c r="A99" s="245">
        <f>LISTA!B100</f>
        <v>0</v>
      </c>
      <c r="B99" s="198">
        <f>LISTA!K100</f>
        <v>0</v>
      </c>
    </row>
    <row r="100" spans="1:2" x14ac:dyDescent="0.2">
      <c r="A100" s="245">
        <f>LISTA!B101</f>
        <v>0</v>
      </c>
      <c r="B100" s="198">
        <f>LISTA!K101</f>
        <v>0</v>
      </c>
    </row>
    <row r="101" spans="1:2" x14ac:dyDescent="0.2">
      <c r="A101" s="245">
        <f>LISTA!B102</f>
        <v>0</v>
      </c>
      <c r="B101" s="198">
        <f>LISTA!K102</f>
        <v>0</v>
      </c>
    </row>
    <row r="102" spans="1:2" x14ac:dyDescent="0.2">
      <c r="A102" s="245">
        <f>LISTA!B103</f>
        <v>0</v>
      </c>
      <c r="B102" s="198">
        <f>LISTA!K103</f>
        <v>0</v>
      </c>
    </row>
    <row r="103" spans="1:2" x14ac:dyDescent="0.2">
      <c r="A103" s="245">
        <f>LISTA!B104</f>
        <v>0</v>
      </c>
      <c r="B103" s="198">
        <f>LISTA!K104</f>
        <v>0</v>
      </c>
    </row>
    <row r="104" spans="1:2" x14ac:dyDescent="0.2">
      <c r="A104" s="245">
        <f>LISTA!B105</f>
        <v>0</v>
      </c>
      <c r="B104" s="198">
        <f>LISTA!K105</f>
        <v>0</v>
      </c>
    </row>
  </sheetData>
  <sortState xmlns:xlrd2="http://schemas.microsoft.com/office/spreadsheetml/2017/richdata2" ref="A4:B104">
    <sortCondition descending="1" ref="B4:B104"/>
  </sortState>
  <phoneticPr fontId="0" type="noConversion"/>
  <pageMargins left="0.75" right="0.75" top="1" bottom="1" header="0.49212598499999999" footer="0.49212598499999999"/>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2776" r:id="rId3" name="Button 8">
              <controlPr defaultSize="0" print="0" autoFill="0" autoPict="0" macro="[0]!VOLTARPAGINAINICIAL">
                <anchor moveWithCells="1" sizeWithCells="1">
                  <from>
                    <xdr:col>12</xdr:col>
                    <xdr:colOff>161925</xdr:colOff>
                    <xdr:row>0</xdr:row>
                    <xdr:rowOff>85725</xdr:rowOff>
                  </from>
                  <to>
                    <xdr:col>17</xdr:col>
                    <xdr:colOff>47625</xdr:colOff>
                    <xdr:row>6</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5:D104"/>
  <sheetViews>
    <sheetView topLeftCell="A103" workbookViewId="0">
      <selection activeCell="B5" sqref="B5:B104"/>
    </sheetView>
  </sheetViews>
  <sheetFormatPr defaultRowHeight="12.75" x14ac:dyDescent="0.2"/>
  <cols>
    <col min="4" max="4" width="13.28515625" bestFit="1" customWidth="1"/>
  </cols>
  <sheetData>
    <row r="5" spans="2:4" x14ac:dyDescent="0.2">
      <c r="B5">
        <v>1</v>
      </c>
      <c r="C5">
        <f>LISTA!B5</f>
        <v>0</v>
      </c>
      <c r="D5" s="256">
        <f>LISTA!K5</f>
        <v>0</v>
      </c>
    </row>
    <row r="6" spans="2:4" x14ac:dyDescent="0.2">
      <c r="B6">
        <v>2</v>
      </c>
    </row>
    <row r="7" spans="2:4" x14ac:dyDescent="0.2">
      <c r="B7">
        <v>3</v>
      </c>
    </row>
    <row r="8" spans="2:4" x14ac:dyDescent="0.2">
      <c r="B8">
        <v>4</v>
      </c>
    </row>
    <row r="9" spans="2:4" x14ac:dyDescent="0.2">
      <c r="B9">
        <v>5</v>
      </c>
    </row>
    <row r="10" spans="2:4" x14ac:dyDescent="0.2">
      <c r="B10">
        <v>6</v>
      </c>
    </row>
    <row r="11" spans="2:4" x14ac:dyDescent="0.2">
      <c r="B11">
        <v>7</v>
      </c>
    </row>
    <row r="12" spans="2:4" x14ac:dyDescent="0.2">
      <c r="B12">
        <v>8</v>
      </c>
    </row>
    <row r="13" spans="2:4" x14ac:dyDescent="0.2">
      <c r="B13">
        <v>9</v>
      </c>
    </row>
    <row r="14" spans="2:4" x14ac:dyDescent="0.2">
      <c r="B14">
        <v>10</v>
      </c>
    </row>
    <row r="15" spans="2:4" x14ac:dyDescent="0.2">
      <c r="B15">
        <v>11</v>
      </c>
    </row>
    <row r="16" spans="2:4" x14ac:dyDescent="0.2">
      <c r="B16">
        <v>12</v>
      </c>
    </row>
    <row r="17" spans="2:2" x14ac:dyDescent="0.2">
      <c r="B17">
        <v>13</v>
      </c>
    </row>
    <row r="18" spans="2:2" x14ac:dyDescent="0.2">
      <c r="B18">
        <v>14</v>
      </c>
    </row>
    <row r="19" spans="2:2" x14ac:dyDescent="0.2">
      <c r="B19">
        <v>15</v>
      </c>
    </row>
    <row r="20" spans="2:2" x14ac:dyDescent="0.2">
      <c r="B20">
        <v>16</v>
      </c>
    </row>
    <row r="21" spans="2:2" x14ac:dyDescent="0.2">
      <c r="B21">
        <v>17</v>
      </c>
    </row>
    <row r="22" spans="2:2" x14ac:dyDescent="0.2">
      <c r="B22">
        <v>18</v>
      </c>
    </row>
    <row r="23" spans="2:2" x14ac:dyDescent="0.2">
      <c r="B23">
        <v>19</v>
      </c>
    </row>
    <row r="24" spans="2:2" x14ac:dyDescent="0.2">
      <c r="B24">
        <v>20</v>
      </c>
    </row>
    <row r="25" spans="2:2" x14ac:dyDescent="0.2">
      <c r="B25">
        <v>21</v>
      </c>
    </row>
    <row r="26" spans="2:2" x14ac:dyDescent="0.2">
      <c r="B26">
        <v>22</v>
      </c>
    </row>
    <row r="27" spans="2:2" x14ac:dyDescent="0.2">
      <c r="B27">
        <v>23</v>
      </c>
    </row>
    <row r="28" spans="2:2" x14ac:dyDescent="0.2">
      <c r="B28">
        <v>24</v>
      </c>
    </row>
    <row r="29" spans="2:2" x14ac:dyDescent="0.2">
      <c r="B29">
        <v>25</v>
      </c>
    </row>
    <row r="30" spans="2:2" x14ac:dyDescent="0.2">
      <c r="B30">
        <v>26</v>
      </c>
    </row>
    <row r="31" spans="2:2" x14ac:dyDescent="0.2">
      <c r="B31">
        <v>27</v>
      </c>
    </row>
    <row r="32" spans="2:2" x14ac:dyDescent="0.2">
      <c r="B32">
        <v>28</v>
      </c>
    </row>
    <row r="33" spans="2:2" x14ac:dyDescent="0.2">
      <c r="B33">
        <v>29</v>
      </c>
    </row>
    <row r="34" spans="2:2" x14ac:dyDescent="0.2">
      <c r="B34">
        <v>30</v>
      </c>
    </row>
    <row r="35" spans="2:2" x14ac:dyDescent="0.2">
      <c r="B35">
        <v>31</v>
      </c>
    </row>
    <row r="36" spans="2:2" x14ac:dyDescent="0.2">
      <c r="B36">
        <v>32</v>
      </c>
    </row>
    <row r="37" spans="2:2" x14ac:dyDescent="0.2">
      <c r="B37">
        <v>33</v>
      </c>
    </row>
    <row r="38" spans="2:2" x14ac:dyDescent="0.2">
      <c r="B38">
        <v>34</v>
      </c>
    </row>
    <row r="39" spans="2:2" x14ac:dyDescent="0.2">
      <c r="B39">
        <v>35</v>
      </c>
    </row>
    <row r="40" spans="2:2" x14ac:dyDescent="0.2">
      <c r="B40">
        <v>36</v>
      </c>
    </row>
    <row r="41" spans="2:2" x14ac:dyDescent="0.2">
      <c r="B41">
        <v>37</v>
      </c>
    </row>
    <row r="42" spans="2:2" x14ac:dyDescent="0.2">
      <c r="B42">
        <v>38</v>
      </c>
    </row>
    <row r="43" spans="2:2" x14ac:dyDescent="0.2">
      <c r="B43">
        <v>39</v>
      </c>
    </row>
    <row r="44" spans="2:2" x14ac:dyDescent="0.2">
      <c r="B44">
        <v>40</v>
      </c>
    </row>
    <row r="45" spans="2:2" x14ac:dyDescent="0.2">
      <c r="B45">
        <v>41</v>
      </c>
    </row>
    <row r="46" spans="2:2" x14ac:dyDescent="0.2">
      <c r="B46">
        <v>42</v>
      </c>
    </row>
    <row r="47" spans="2:2" x14ac:dyDescent="0.2">
      <c r="B47">
        <v>43</v>
      </c>
    </row>
    <row r="48" spans="2:2" x14ac:dyDescent="0.2">
      <c r="B48">
        <v>44</v>
      </c>
    </row>
    <row r="49" spans="2:2" x14ac:dyDescent="0.2">
      <c r="B49">
        <v>45</v>
      </c>
    </row>
    <row r="50" spans="2:2" x14ac:dyDescent="0.2">
      <c r="B50">
        <v>46</v>
      </c>
    </row>
    <row r="51" spans="2:2" x14ac:dyDescent="0.2">
      <c r="B51">
        <v>47</v>
      </c>
    </row>
    <row r="52" spans="2:2" x14ac:dyDescent="0.2">
      <c r="B52">
        <v>48</v>
      </c>
    </row>
    <row r="53" spans="2:2" x14ac:dyDescent="0.2">
      <c r="B53">
        <v>49</v>
      </c>
    </row>
    <row r="54" spans="2:2" x14ac:dyDescent="0.2">
      <c r="B54">
        <v>50</v>
      </c>
    </row>
    <row r="55" spans="2:2" x14ac:dyDescent="0.2">
      <c r="B55">
        <v>51</v>
      </c>
    </row>
    <row r="56" spans="2:2" x14ac:dyDescent="0.2">
      <c r="B56">
        <v>52</v>
      </c>
    </row>
    <row r="57" spans="2:2" x14ac:dyDescent="0.2">
      <c r="B57">
        <v>53</v>
      </c>
    </row>
    <row r="58" spans="2:2" x14ac:dyDescent="0.2">
      <c r="B58">
        <v>54</v>
      </c>
    </row>
    <row r="59" spans="2:2" x14ac:dyDescent="0.2">
      <c r="B59">
        <v>55</v>
      </c>
    </row>
    <row r="60" spans="2:2" x14ac:dyDescent="0.2">
      <c r="B60">
        <v>56</v>
      </c>
    </row>
    <row r="61" spans="2:2" x14ac:dyDescent="0.2">
      <c r="B61">
        <v>57</v>
      </c>
    </row>
    <row r="62" spans="2:2" x14ac:dyDescent="0.2">
      <c r="B62">
        <v>58</v>
      </c>
    </row>
    <row r="63" spans="2:2" x14ac:dyDescent="0.2">
      <c r="B63">
        <v>59</v>
      </c>
    </row>
    <row r="64" spans="2:2" x14ac:dyDescent="0.2">
      <c r="B64">
        <v>60</v>
      </c>
    </row>
    <row r="65" spans="2:2" x14ac:dyDescent="0.2">
      <c r="B65">
        <v>61</v>
      </c>
    </row>
    <row r="66" spans="2:2" x14ac:dyDescent="0.2">
      <c r="B66">
        <v>62</v>
      </c>
    </row>
    <row r="67" spans="2:2" x14ac:dyDescent="0.2">
      <c r="B67">
        <v>63</v>
      </c>
    </row>
    <row r="68" spans="2:2" x14ac:dyDescent="0.2">
      <c r="B68">
        <v>64</v>
      </c>
    </row>
    <row r="69" spans="2:2" x14ac:dyDescent="0.2">
      <c r="B69">
        <v>65</v>
      </c>
    </row>
    <row r="70" spans="2:2" x14ac:dyDescent="0.2">
      <c r="B70">
        <v>66</v>
      </c>
    </row>
    <row r="71" spans="2:2" x14ac:dyDescent="0.2">
      <c r="B71">
        <v>67</v>
      </c>
    </row>
    <row r="72" spans="2:2" x14ac:dyDescent="0.2">
      <c r="B72">
        <v>68</v>
      </c>
    </row>
    <row r="73" spans="2:2" x14ac:dyDescent="0.2">
      <c r="B73">
        <v>69</v>
      </c>
    </row>
    <row r="74" spans="2:2" x14ac:dyDescent="0.2">
      <c r="B74">
        <v>70</v>
      </c>
    </row>
    <row r="75" spans="2:2" x14ac:dyDescent="0.2">
      <c r="B75">
        <v>71</v>
      </c>
    </row>
    <row r="76" spans="2:2" x14ac:dyDescent="0.2">
      <c r="B76">
        <v>72</v>
      </c>
    </row>
    <row r="77" spans="2:2" x14ac:dyDescent="0.2">
      <c r="B77">
        <v>73</v>
      </c>
    </row>
    <row r="78" spans="2:2" x14ac:dyDescent="0.2">
      <c r="B78">
        <v>74</v>
      </c>
    </row>
    <row r="79" spans="2:2" x14ac:dyDescent="0.2">
      <c r="B79">
        <v>75</v>
      </c>
    </row>
    <row r="80" spans="2:2" x14ac:dyDescent="0.2">
      <c r="B80">
        <v>76</v>
      </c>
    </row>
    <row r="81" spans="2:2" x14ac:dyDescent="0.2">
      <c r="B81">
        <v>77</v>
      </c>
    </row>
    <row r="82" spans="2:2" x14ac:dyDescent="0.2">
      <c r="B82">
        <v>78</v>
      </c>
    </row>
    <row r="83" spans="2:2" x14ac:dyDescent="0.2">
      <c r="B83">
        <v>79</v>
      </c>
    </row>
    <row r="84" spans="2:2" x14ac:dyDescent="0.2">
      <c r="B84">
        <v>80</v>
      </c>
    </row>
    <row r="85" spans="2:2" x14ac:dyDescent="0.2">
      <c r="B85">
        <v>81</v>
      </c>
    </row>
    <row r="86" spans="2:2" x14ac:dyDescent="0.2">
      <c r="B86">
        <v>82</v>
      </c>
    </row>
    <row r="87" spans="2:2" x14ac:dyDescent="0.2">
      <c r="B87">
        <v>83</v>
      </c>
    </row>
    <row r="88" spans="2:2" x14ac:dyDescent="0.2">
      <c r="B88">
        <v>84</v>
      </c>
    </row>
    <row r="89" spans="2:2" x14ac:dyDescent="0.2">
      <c r="B89">
        <v>85</v>
      </c>
    </row>
    <row r="90" spans="2:2" x14ac:dyDescent="0.2">
      <c r="B90">
        <v>86</v>
      </c>
    </row>
    <row r="91" spans="2:2" x14ac:dyDescent="0.2">
      <c r="B91">
        <v>87</v>
      </c>
    </row>
    <row r="92" spans="2:2" x14ac:dyDescent="0.2">
      <c r="B92">
        <v>88</v>
      </c>
    </row>
    <row r="93" spans="2:2" x14ac:dyDescent="0.2">
      <c r="B93">
        <v>89</v>
      </c>
    </row>
    <row r="94" spans="2:2" x14ac:dyDescent="0.2">
      <c r="B94">
        <v>90</v>
      </c>
    </row>
    <row r="95" spans="2:2" x14ac:dyDescent="0.2">
      <c r="B95">
        <v>91</v>
      </c>
    </row>
    <row r="96" spans="2:2" x14ac:dyDescent="0.2">
      <c r="B96">
        <v>92</v>
      </c>
    </row>
    <row r="97" spans="2:2" x14ac:dyDescent="0.2">
      <c r="B97">
        <v>93</v>
      </c>
    </row>
    <row r="98" spans="2:2" x14ac:dyDescent="0.2">
      <c r="B98">
        <v>94</v>
      </c>
    </row>
    <row r="99" spans="2:2" x14ac:dyDescent="0.2">
      <c r="B99">
        <v>95</v>
      </c>
    </row>
    <row r="100" spans="2:2" x14ac:dyDescent="0.2">
      <c r="B100">
        <v>96</v>
      </c>
    </row>
    <row r="101" spans="2:2" x14ac:dyDescent="0.2">
      <c r="B101">
        <v>97</v>
      </c>
    </row>
    <row r="102" spans="2:2" x14ac:dyDescent="0.2">
      <c r="B102">
        <v>98</v>
      </c>
    </row>
    <row r="103" spans="2:2" x14ac:dyDescent="0.2">
      <c r="B103">
        <v>99</v>
      </c>
    </row>
    <row r="104" spans="2:2" x14ac:dyDescent="0.2">
      <c r="B104">
        <v>100</v>
      </c>
    </row>
  </sheetData>
  <phoneticPr fontId="0" type="noConversion"/>
  <pageMargins left="0.75" right="0.75" top="1" bottom="1" header="0.49212598499999999" footer="0.49212598499999999"/>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
  <sheetViews>
    <sheetView workbookViewId="0"/>
  </sheetViews>
  <sheetFormatPr defaultRowHeight="12.75" x14ac:dyDescent="0.2"/>
  <sheetData/>
  <phoneticPr fontId="0" type="noConversion"/>
  <pageMargins left="0.75" right="0.75" top="1" bottom="1" header="0.49212598499999999" footer="0.49212598499999999"/>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
  <sheetViews>
    <sheetView workbookViewId="0"/>
  </sheetViews>
  <sheetFormatPr defaultRowHeight="12.75" x14ac:dyDescent="0.2"/>
  <sheetData/>
  <phoneticPr fontId="0" type="noConversion"/>
  <pageMargins left="0.75" right="0.75" top="1" bottom="1" header="0.49212598499999999" footer="0.49212598499999999"/>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
  <sheetViews>
    <sheetView workbookViewId="0"/>
  </sheetViews>
  <sheetFormatPr defaultRowHeight="12.75" x14ac:dyDescent="0.2"/>
  <sheetData/>
  <phoneticPr fontId="0" type="noConversion"/>
  <pageMargins left="0.75" right="0.75" top="1" bottom="1" header="0.49212598499999999" footer="0.49212598499999999"/>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
  <sheetViews>
    <sheetView workbookViewId="0"/>
  </sheetViews>
  <sheetFormatPr defaultRowHeight="12.75" x14ac:dyDescent="0.2"/>
  <sheetData/>
  <phoneticPr fontId="0" type="noConversion"/>
  <pageMargins left="0.75" right="0.75" top="1" bottom="1" header="0.49212598499999999" footer="0.49212598499999999"/>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
  <sheetViews>
    <sheetView workbookViewId="0"/>
  </sheetViews>
  <sheetFormatPr defaultRowHeight="12.75" x14ac:dyDescent="0.2"/>
  <sheetData/>
  <phoneticPr fontId="0" type="noConversion"/>
  <pageMargins left="0.75" right="0.75" top="1" bottom="1" header="0.49212598499999999" footer="0.49212598499999999"/>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
  <sheetViews>
    <sheetView workbookViewId="0"/>
  </sheetViews>
  <sheetFormatPr defaultRowHeight="12.75" x14ac:dyDescent="0.2"/>
  <sheetData/>
  <phoneticPr fontId="0" type="noConversion"/>
  <pageMargins left="0.75" right="0.75" top="1" bottom="1" header="0.49212598499999999" footer="0.49212598499999999"/>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
  <sheetViews>
    <sheetView workbookViewId="0"/>
  </sheetViews>
  <sheetFormatPr defaultRowHeight="12.75" x14ac:dyDescent="0.2"/>
  <sheetData/>
  <phoneticPr fontId="0" type="noConversion"/>
  <pageMargins left="0.75" right="0.75" top="1" bottom="1" header="0.49212598499999999" footer="0.49212598499999999"/>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
  <sheetViews>
    <sheetView workbookViewId="0"/>
  </sheetViews>
  <sheetFormatPr defaultRowHeight="12.75" x14ac:dyDescent="0.2"/>
  <sheetData/>
  <phoneticPr fontId="0" type="noConversion"/>
  <pageMargins left="0.75" right="0.75" top="1" bottom="1" header="0.49212598499999999" footer="0.49212598499999999"/>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
  <sheetViews>
    <sheetView workbookViewId="0"/>
  </sheetViews>
  <sheetFormatPr defaultRowHeight="12.75" x14ac:dyDescent="0.2"/>
  <sheetData/>
  <phoneticPr fontId="0" type="noConversion"/>
  <pageMargins left="0.75" right="0.75" top="1" bottom="1" header="0.49212598499999999" footer="0.49212598499999999"/>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
  <sheetViews>
    <sheetView workbookViewId="0"/>
  </sheetViews>
  <sheetFormatPr defaultRowHeight="12.75" x14ac:dyDescent="0.2"/>
  <sheetData/>
  <phoneticPr fontId="0" type="noConversion"/>
  <pageMargins left="0.75" right="0.75" top="1" bottom="1" header="0.49212598499999999" footer="0.49212598499999999"/>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B1:F10"/>
  <sheetViews>
    <sheetView showGridLines="0" workbookViewId="0"/>
  </sheetViews>
  <sheetFormatPr defaultRowHeight="12.75" x14ac:dyDescent="0.2"/>
  <cols>
    <col min="1" max="1" width="1.140625" customWidth="1"/>
    <col min="2" max="2" width="64.42578125" customWidth="1"/>
    <col min="3" max="3" width="1.5703125" customWidth="1"/>
    <col min="4" max="4" width="5.5703125" customWidth="1"/>
    <col min="5" max="6" width="16" customWidth="1"/>
  </cols>
  <sheetData>
    <row r="1" spans="2:6" ht="25.5" x14ac:dyDescent="0.2">
      <c r="B1" s="62" t="s">
        <v>63</v>
      </c>
      <c r="C1" s="62"/>
      <c r="D1" s="66"/>
      <c r="E1" s="66"/>
      <c r="F1" s="66"/>
    </row>
    <row r="2" spans="2:6" x14ac:dyDescent="0.2">
      <c r="B2" s="62" t="s">
        <v>64</v>
      </c>
      <c r="C2" s="62"/>
      <c r="D2" s="66"/>
      <c r="E2" s="66"/>
      <c r="F2" s="66"/>
    </row>
    <row r="3" spans="2:6" x14ac:dyDescent="0.2">
      <c r="B3" s="63"/>
      <c r="C3" s="63"/>
      <c r="D3" s="67"/>
      <c r="E3" s="67"/>
      <c r="F3" s="67"/>
    </row>
    <row r="4" spans="2:6" ht="51" x14ac:dyDescent="0.2">
      <c r="B4" s="63" t="s">
        <v>65</v>
      </c>
      <c r="C4" s="63"/>
      <c r="D4" s="67"/>
      <c r="E4" s="67"/>
      <c r="F4" s="67"/>
    </row>
    <row r="5" spans="2:6" x14ac:dyDescent="0.2">
      <c r="B5" s="63"/>
      <c r="C5" s="63"/>
      <c r="D5" s="67"/>
      <c r="E5" s="67"/>
      <c r="F5" s="67"/>
    </row>
    <row r="6" spans="2:6" x14ac:dyDescent="0.2">
      <c r="B6" s="62" t="s">
        <v>66</v>
      </c>
      <c r="C6" s="62"/>
      <c r="D6" s="66"/>
      <c r="E6" s="66" t="s">
        <v>67</v>
      </c>
      <c r="F6" s="66" t="s">
        <v>68</v>
      </c>
    </row>
    <row r="7" spans="2:6" ht="13.5" thickBot="1" x14ac:dyDescent="0.25">
      <c r="B7" s="63"/>
      <c r="C7" s="63"/>
      <c r="D7" s="67"/>
      <c r="E7" s="67"/>
      <c r="F7" s="67"/>
    </row>
    <row r="8" spans="2:6" ht="39" thickBot="1" x14ac:dyDescent="0.25">
      <c r="B8" s="64" t="s">
        <v>69</v>
      </c>
      <c r="C8" s="65"/>
      <c r="D8" s="68"/>
      <c r="E8" s="68">
        <v>3</v>
      </c>
      <c r="F8" s="69" t="s">
        <v>70</v>
      </c>
    </row>
    <row r="9" spans="2:6" x14ac:dyDescent="0.2">
      <c r="B9" s="63"/>
      <c r="C9" s="63"/>
      <c r="D9" s="67"/>
      <c r="E9" s="67"/>
      <c r="F9" s="67"/>
    </row>
    <row r="10" spans="2:6" x14ac:dyDescent="0.2">
      <c r="B10" s="63"/>
      <c r="C10" s="63"/>
      <c r="D10" s="67"/>
      <c r="E10" s="67"/>
      <c r="F10" s="67"/>
    </row>
  </sheetData>
  <phoneticPr fontId="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PÁGINA INICIAL</vt:lpstr>
      <vt:lpstr>DEMANDA</vt:lpstr>
      <vt:lpstr>LISTA</vt:lpstr>
      <vt:lpstr>DRE</vt:lpstr>
      <vt:lpstr>BREAK EVEN POINTS</vt:lpstr>
      <vt:lpstr>NOVACURVAABC</vt:lpstr>
      <vt:lpstr>Plan6</vt:lpstr>
      <vt:lpstr>Plan7</vt:lpstr>
      <vt:lpstr>Plan8</vt:lpstr>
      <vt:lpstr>Plan9</vt:lpstr>
      <vt:lpstr>Plan10</vt:lpstr>
      <vt:lpstr>Plan11</vt:lpstr>
      <vt:lpstr>Plan12</vt:lpstr>
      <vt:lpstr>Plan13</vt:lpstr>
      <vt:lpstr>Plan14</vt:lpstr>
      <vt:lpstr>Plan15</vt:lpstr>
      <vt:lpstr>Plan16</vt:lpstr>
      <vt:lpstr>Compatibility Report</vt:lpstr>
    </vt:vector>
  </TitlesOfParts>
  <Company>SIGHA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Cesar</dc:creator>
  <cp:lastModifiedBy>BDZ Gamer11</cp:lastModifiedBy>
  <cp:lastPrinted>2010-08-06T17:07:55Z</cp:lastPrinted>
  <dcterms:created xsi:type="dcterms:W3CDTF">2003-02-17T03:19:29Z</dcterms:created>
  <dcterms:modified xsi:type="dcterms:W3CDTF">2023-11-18T14:54:50Z</dcterms:modified>
</cp:coreProperties>
</file>